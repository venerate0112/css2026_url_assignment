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yofmpumalanga-my.sharepoint.com/personal/220432627_ump_ac_za/Documents/UMP 2025/My Research/Statistics/"/>
    </mc:Choice>
  </mc:AlternateContent>
  <xr:revisionPtr revIDLastSave="230" documentId="14_{2F7FA9BD-A1A5-4B3A-8C88-98FCBEFCCAD9}" xr6:coauthVersionLast="47" xr6:coauthVersionMax="47" xr10:uidLastSave="{16273A89-01A7-4002-8C3F-9255397882BB}"/>
  <bookViews>
    <workbookView xWindow="-110" yWindow="-110" windowWidth="19420" windowHeight="11500" activeTab="2" xr2:uid="{7234F711-A9F1-4096-ABFB-2BB6205B9089}"/>
  </bookViews>
  <sheets>
    <sheet name="Sheet1" sheetId="1" r:id="rId1"/>
    <sheet name="Physiochemical parameters" sheetId="2" r:id="rId2"/>
    <sheet name="Appendi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5" i="3" l="1"/>
  <c r="E35" i="3"/>
  <c r="D35" i="3"/>
  <c r="C35" i="3"/>
  <c r="B35" i="3"/>
  <c r="H41" i="3"/>
  <c r="G41" i="3"/>
  <c r="F41" i="3"/>
  <c r="E41" i="3"/>
  <c r="D41" i="3"/>
  <c r="C41" i="3"/>
  <c r="B41" i="3"/>
  <c r="H40" i="3"/>
  <c r="G40" i="3"/>
  <c r="D40" i="3"/>
  <c r="C40" i="3"/>
  <c r="B40" i="3"/>
  <c r="H39" i="3"/>
  <c r="G39" i="3"/>
  <c r="F39" i="3"/>
  <c r="E39" i="3"/>
  <c r="D39" i="3"/>
  <c r="C39" i="3"/>
  <c r="B39" i="3"/>
  <c r="H38" i="3"/>
  <c r="G38" i="3"/>
  <c r="F38" i="3"/>
  <c r="E38" i="3"/>
  <c r="D38" i="3"/>
  <c r="C38" i="3"/>
  <c r="B38" i="3"/>
  <c r="H37" i="3"/>
  <c r="G37" i="3"/>
  <c r="F37" i="3"/>
  <c r="E37" i="3"/>
  <c r="D37" i="3"/>
  <c r="C37" i="3"/>
  <c r="B37" i="3"/>
  <c r="H33" i="3"/>
  <c r="G33" i="3"/>
  <c r="F33" i="3"/>
  <c r="E33" i="3"/>
  <c r="D33" i="3"/>
  <c r="C33" i="3"/>
  <c r="B33" i="3"/>
  <c r="H36" i="3"/>
  <c r="G36" i="3"/>
  <c r="F36" i="3"/>
  <c r="E36" i="3"/>
  <c r="D36" i="3"/>
  <c r="C36" i="3"/>
  <c r="B36" i="3"/>
  <c r="C14" i="1"/>
  <c r="D26" i="1"/>
  <c r="E26" i="1"/>
  <c r="F26" i="1"/>
  <c r="G26" i="1"/>
  <c r="H26" i="1"/>
  <c r="I26" i="1"/>
  <c r="J26" i="1"/>
  <c r="K26" i="1"/>
  <c r="L26" i="1"/>
  <c r="M26" i="1"/>
  <c r="N26" i="1"/>
  <c r="C26" i="1"/>
  <c r="D13" i="1"/>
  <c r="E13" i="1"/>
  <c r="F13" i="1"/>
  <c r="G13" i="1"/>
  <c r="H13" i="1"/>
  <c r="I13" i="1"/>
  <c r="J13" i="1"/>
  <c r="K13" i="1"/>
  <c r="L13" i="1"/>
  <c r="M13" i="1"/>
  <c r="N13" i="1"/>
  <c r="C13" i="1"/>
  <c r="I12" i="1"/>
  <c r="I11" i="1"/>
  <c r="I10" i="1"/>
  <c r="I9" i="1"/>
  <c r="I8" i="1"/>
  <c r="I7" i="1"/>
  <c r="I6" i="1"/>
  <c r="I5" i="1"/>
  <c r="I4" i="1"/>
  <c r="I3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K25" i="1"/>
  <c r="K24" i="1"/>
  <c r="K23" i="1"/>
  <c r="K22" i="1"/>
  <c r="K21" i="1"/>
  <c r="K20" i="1"/>
  <c r="K19" i="1"/>
  <c r="K18" i="1"/>
  <c r="J25" i="1"/>
  <c r="I25" i="1"/>
  <c r="H25" i="1"/>
  <c r="G25" i="1"/>
  <c r="F25" i="1"/>
  <c r="E25" i="1"/>
  <c r="D25" i="1"/>
  <c r="C25" i="1"/>
  <c r="J24" i="1"/>
  <c r="I24" i="1"/>
  <c r="H24" i="1"/>
  <c r="G24" i="1"/>
  <c r="F24" i="1"/>
  <c r="E24" i="1"/>
  <c r="D24" i="1"/>
  <c r="C24" i="1"/>
  <c r="J23" i="1"/>
  <c r="I23" i="1"/>
  <c r="H23" i="1"/>
  <c r="G23" i="1"/>
  <c r="F23" i="1"/>
  <c r="E23" i="1"/>
  <c r="D23" i="1"/>
  <c r="C23" i="1"/>
  <c r="J22" i="1"/>
  <c r="I22" i="1"/>
  <c r="H22" i="1"/>
  <c r="G22" i="1"/>
  <c r="F22" i="1"/>
  <c r="E22" i="1"/>
  <c r="D22" i="1"/>
  <c r="C22" i="1"/>
  <c r="J21" i="1"/>
  <c r="I21" i="1"/>
  <c r="H21" i="1"/>
  <c r="G21" i="1"/>
  <c r="F21" i="1"/>
  <c r="E21" i="1"/>
  <c r="D21" i="1"/>
  <c r="C21" i="1"/>
  <c r="J20" i="1"/>
  <c r="I20" i="1"/>
  <c r="H20" i="1"/>
  <c r="G20" i="1"/>
  <c r="F20" i="1"/>
  <c r="E20" i="1"/>
  <c r="D20" i="1"/>
  <c r="C20" i="1"/>
  <c r="J19" i="1"/>
  <c r="I19" i="1"/>
  <c r="H19" i="1"/>
  <c r="G19" i="1"/>
  <c r="F19" i="1"/>
  <c r="E19" i="1"/>
  <c r="D19" i="1"/>
  <c r="C19" i="1"/>
  <c r="J18" i="1"/>
  <c r="I18" i="1"/>
  <c r="H18" i="1"/>
  <c r="G18" i="1"/>
  <c r="F18" i="1"/>
  <c r="E18" i="1"/>
  <c r="D18" i="1"/>
  <c r="C18" i="1"/>
  <c r="K17" i="1"/>
  <c r="J17" i="1"/>
  <c r="I17" i="1"/>
  <c r="H17" i="1"/>
  <c r="G17" i="1"/>
  <c r="F17" i="1"/>
  <c r="E17" i="1"/>
  <c r="D17" i="1"/>
  <c r="C17" i="1"/>
  <c r="K16" i="1"/>
  <c r="J16" i="1"/>
  <c r="I16" i="1"/>
  <c r="H16" i="1"/>
  <c r="G16" i="1"/>
  <c r="F16" i="1"/>
  <c r="E16" i="1"/>
  <c r="D16" i="1"/>
  <c r="C16" i="1"/>
  <c r="N12" i="1"/>
  <c r="M12" i="1"/>
  <c r="L12" i="1"/>
  <c r="K12" i="1"/>
  <c r="J12" i="1"/>
  <c r="H12" i="1"/>
  <c r="G12" i="1"/>
  <c r="F12" i="1"/>
  <c r="E12" i="1"/>
  <c r="D12" i="1"/>
  <c r="C12" i="1"/>
  <c r="N11" i="1"/>
  <c r="M11" i="1"/>
  <c r="L11" i="1"/>
  <c r="K11" i="1"/>
  <c r="J11" i="1"/>
  <c r="H11" i="1"/>
  <c r="G11" i="1"/>
  <c r="F11" i="1"/>
  <c r="E11" i="1"/>
  <c r="D11" i="1"/>
  <c r="C11" i="1"/>
  <c r="N10" i="1"/>
  <c r="M10" i="1"/>
  <c r="L10" i="1"/>
  <c r="K10" i="1"/>
  <c r="J10" i="1"/>
  <c r="H10" i="1"/>
  <c r="G10" i="1"/>
  <c r="F10" i="1"/>
  <c r="E10" i="1"/>
  <c r="D10" i="1"/>
  <c r="C10" i="1"/>
  <c r="N9" i="1"/>
  <c r="M9" i="1"/>
  <c r="L9" i="1"/>
  <c r="K9" i="1"/>
  <c r="J9" i="1"/>
  <c r="H9" i="1"/>
  <c r="G9" i="1"/>
  <c r="F9" i="1"/>
  <c r="E9" i="1"/>
  <c r="D9" i="1"/>
  <c r="C9" i="1"/>
  <c r="N8" i="1"/>
  <c r="M8" i="1"/>
  <c r="L8" i="1"/>
  <c r="K8" i="1"/>
  <c r="J8" i="1"/>
  <c r="H8" i="1"/>
  <c r="G8" i="1"/>
  <c r="F8" i="1"/>
  <c r="E8" i="1"/>
  <c r="D8" i="1"/>
  <c r="C8" i="1"/>
  <c r="N7" i="1"/>
  <c r="M7" i="1"/>
  <c r="L7" i="1"/>
  <c r="K7" i="1"/>
  <c r="J7" i="1"/>
  <c r="H7" i="1"/>
  <c r="G7" i="1"/>
  <c r="F7" i="1"/>
  <c r="E7" i="1"/>
  <c r="D7" i="1"/>
  <c r="C7" i="1"/>
  <c r="N6" i="1"/>
  <c r="M6" i="1"/>
  <c r="L6" i="1"/>
  <c r="K6" i="1"/>
  <c r="J6" i="1"/>
  <c r="H6" i="1"/>
  <c r="G6" i="1"/>
  <c r="F6" i="1"/>
  <c r="E6" i="1"/>
  <c r="D6" i="1"/>
  <c r="C6" i="1"/>
  <c r="N5" i="1"/>
  <c r="M5" i="1"/>
  <c r="L5" i="1"/>
  <c r="K5" i="1"/>
  <c r="J5" i="1"/>
  <c r="H5" i="1"/>
  <c r="G5" i="1"/>
  <c r="F5" i="1"/>
  <c r="E5" i="1"/>
  <c r="D5" i="1"/>
  <c r="C5" i="1"/>
  <c r="N4" i="1"/>
  <c r="M4" i="1"/>
  <c r="L4" i="1"/>
  <c r="K4" i="1"/>
  <c r="J4" i="1"/>
  <c r="H4" i="1"/>
  <c r="G4" i="1"/>
  <c r="F4" i="1"/>
  <c r="E4" i="1"/>
  <c r="D4" i="1"/>
  <c r="C4" i="1"/>
  <c r="N3" i="1"/>
  <c r="M3" i="1"/>
  <c r="L3" i="1"/>
  <c r="K3" i="1"/>
  <c r="J3" i="1"/>
  <c r="H3" i="1"/>
  <c r="G3" i="1"/>
  <c r="F3" i="1"/>
  <c r="E3" i="1"/>
  <c r="D3" i="1"/>
  <c r="C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<sst xmlns="http://schemas.openxmlformats.org/spreadsheetml/2006/main" count="129" uniqueCount="55">
  <si>
    <t>Site</t>
  </si>
  <si>
    <t>Elawini</t>
  </si>
  <si>
    <t>ilanga Mall</t>
  </si>
  <si>
    <t>ANC</t>
  </si>
  <si>
    <t>Spar</t>
  </si>
  <si>
    <t>Shisanyama</t>
  </si>
  <si>
    <t>Poolware</t>
  </si>
  <si>
    <t>Nelacres Shopping Centre</t>
  </si>
  <si>
    <t>Lumi Nails</t>
  </si>
  <si>
    <t>Hi Tech Engineering</t>
  </si>
  <si>
    <t>The Vets @66</t>
  </si>
  <si>
    <t>ORP</t>
  </si>
  <si>
    <t>pH</t>
  </si>
  <si>
    <r>
      <rPr>
        <sz val="11"/>
        <color theme="1"/>
        <rFont val="Aptos Narrow"/>
        <family val="2"/>
      </rPr>
      <t>℅</t>
    </r>
    <r>
      <rPr>
        <strike/>
        <sz val="11"/>
        <color theme="1"/>
        <rFont val="Aptos Narrow"/>
        <family val="2"/>
      </rPr>
      <t xml:space="preserve"> DO</t>
    </r>
  </si>
  <si>
    <t>DO</t>
  </si>
  <si>
    <t>TDS (ppm)</t>
  </si>
  <si>
    <r>
      <t>Temp (</t>
    </r>
    <r>
      <rPr>
        <sz val="11"/>
        <color theme="1"/>
        <rFont val="Aptos Narrow"/>
        <family val="2"/>
      </rPr>
      <t>˚C)</t>
    </r>
  </si>
  <si>
    <t>Phosphorus (P)</t>
  </si>
  <si>
    <t>Phosphorus Pentoxide(P205)</t>
  </si>
  <si>
    <t xml:space="preserve"> Phosphate (PO43-)</t>
  </si>
  <si>
    <t>NaCl</t>
  </si>
  <si>
    <t>Res</t>
  </si>
  <si>
    <t>EC</t>
  </si>
  <si>
    <t>Season 1</t>
  </si>
  <si>
    <t>Season 2</t>
  </si>
  <si>
    <t>Average</t>
  </si>
  <si>
    <t xml:space="preserve">Average </t>
  </si>
  <si>
    <t>Period 1</t>
  </si>
  <si>
    <t>Period 2</t>
  </si>
  <si>
    <r>
      <rPr>
        <b/>
        <sz val="11"/>
        <color theme="1"/>
        <rFont val="Aptos Narrow"/>
        <family val="2"/>
      </rPr>
      <t>℅</t>
    </r>
    <r>
      <rPr>
        <b/>
        <strike/>
        <sz val="11"/>
        <color theme="1"/>
        <rFont val="Aptos Narrow"/>
        <family val="2"/>
      </rPr>
      <t xml:space="preserve"> DO</t>
    </r>
  </si>
  <si>
    <r>
      <t>Temp (</t>
    </r>
    <r>
      <rPr>
        <b/>
        <sz val="11"/>
        <color theme="1"/>
        <rFont val="Aptos Narrow"/>
        <family val="2"/>
      </rPr>
      <t>˚C)</t>
    </r>
  </si>
  <si>
    <t>season 1</t>
  </si>
  <si>
    <t>Temp (°C)</t>
  </si>
  <si>
    <t>ORP (Mv)</t>
  </si>
  <si>
    <t>%DO (mg/l)</t>
  </si>
  <si>
    <t>DO (mg/l)</t>
  </si>
  <si>
    <t>EC (mS/m)</t>
  </si>
  <si>
    <t>TDS (mg/l)</t>
  </si>
  <si>
    <t>Phosphorus</t>
  </si>
  <si>
    <t>P Pentoxide</t>
  </si>
  <si>
    <t xml:space="preserve"> Phospate</t>
  </si>
  <si>
    <t>Site 1</t>
  </si>
  <si>
    <t>Site 2</t>
  </si>
  <si>
    <t>Site 3</t>
  </si>
  <si>
    <t>Site 4</t>
  </si>
  <si>
    <t>Site 5</t>
  </si>
  <si>
    <t>Site 6</t>
  </si>
  <si>
    <t>Site7</t>
  </si>
  <si>
    <t>Site8</t>
  </si>
  <si>
    <t>Site 9</t>
  </si>
  <si>
    <t>Site10</t>
  </si>
  <si>
    <t xml:space="preserve"> (P)</t>
  </si>
  <si>
    <t>(P205)</t>
  </si>
  <si>
    <t xml:space="preserve"> (PO43-)</t>
  </si>
  <si>
    <t>Season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</si>
</sst>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1"/>
      <name val="Aptos Narrow"/>
      <family val="2"/>
      <scheme val="minor"/>
    </font>
    <font>
      <b/>
      <strike/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3" xfId="0" applyFill="1" applyBorder="1"/>
    <xf numFmtId="0" fontId="0" fillId="3" borderId="0" xfId="0" applyFill="1"/>
    <xf numFmtId="0" fontId="0" fillId="4" borderId="0" xfId="0" applyFill="1" applyAlignment="1">
      <alignment horizontal="left" indent="1"/>
    </xf>
    <xf numFmtId="0" fontId="0" fillId="5" borderId="0" xfId="0" applyFill="1" applyAlignment="1">
      <alignment horizontal="left"/>
    </xf>
    <xf numFmtId="0" fontId="0" fillId="2" borderId="0" xfId="0" applyFill="1"/>
    <xf numFmtId="2" fontId="0" fillId="4" borderId="0" xfId="0" applyNumberFormat="1" applyFill="1" applyAlignment="1">
      <alignment horizontal="left" indent="1"/>
    </xf>
    <xf numFmtId="2" fontId="0" fillId="0" borderId="0" xfId="0" applyNumberFormat="1"/>
    <xf numFmtId="0" fontId="1" fillId="0" borderId="0" xfId="0" applyFont="1"/>
    <xf numFmtId="2" fontId="0" fillId="0" borderId="0" xfId="0" applyNumberFormat="1" applyAlignment="1">
      <alignment horizontal="left"/>
    </xf>
    <xf numFmtId="0" fontId="3" fillId="2" borderId="2" xfId="0" applyFont="1" applyFill="1" applyBorder="1"/>
    <xf numFmtId="0" fontId="4" fillId="2" borderId="2" xfId="0" applyFont="1" applyFill="1" applyBorder="1"/>
    <xf numFmtId="0" fontId="3" fillId="2" borderId="1" xfId="0" applyFont="1" applyFill="1" applyBorder="1"/>
    <xf numFmtId="0" fontId="3" fillId="2" borderId="3" xfId="0" applyFont="1" applyFill="1" applyBorder="1"/>
    <xf numFmtId="0" fontId="3" fillId="3" borderId="4" xfId="0" applyFont="1" applyFill="1" applyBorder="1"/>
    <xf numFmtId="0" fontId="0" fillId="0" borderId="0" xfId="0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8" xfId="0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14" xfId="0" applyBorder="1"/>
    <xf numFmtId="0" fontId="6" fillId="6" borderId="9" xfId="0" applyFont="1" applyFill="1" applyBorder="1"/>
    <xf numFmtId="0" fontId="6" fillId="6" borderId="10" xfId="0" applyFont="1" applyFill="1" applyBorder="1"/>
    <xf numFmtId="0" fontId="0" fillId="0" borderId="5" xfId="0" applyBorder="1" applyAlignment="1">
      <alignment horizontal="left"/>
    </xf>
    <xf numFmtId="0" fontId="0" fillId="0" borderId="14" xfId="0" applyBorder="1" applyAlignment="1">
      <alignment horizontal="left"/>
    </xf>
    <xf numFmtId="0" fontId="3" fillId="0" borderId="0" xfId="0" applyFont="1"/>
    <xf numFmtId="0" fontId="4" fillId="0" borderId="0" xfId="0" applyFont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10/relationships/person" Target="persons/person.xml"/><Relationship Id="rId5" Type="http://schemas.openxmlformats.org/officeDocument/2006/relationships/styles" Target="styles.xml"/><Relationship Id="rId10" Type="http://schemas.microsoft.com/office/2017/06/relationships/rdRichValueTypes" Target="richData/rdRichValueTypes.xml"/><Relationship Id="rId4" Type="http://schemas.openxmlformats.org/officeDocument/2006/relationships/theme" Target="theme/theme1.xml"/><Relationship Id="rId9" Type="http://schemas.microsoft.com/office/2017/06/relationships/rdRichValueStructure" Target="richData/rdrichvaluestructure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24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6C53A-BB31-4BDC-AF58-85C7140C8870}">
  <dimension ref="A1:N26"/>
  <sheetViews>
    <sheetView topLeftCell="B7" workbookViewId="0">
      <selection activeCell="B25" sqref="B16:B25"/>
    </sheetView>
  </sheetViews>
  <sheetFormatPr defaultRowHeight="14.5" x14ac:dyDescent="0.35"/>
  <cols>
    <col min="1" max="1" width="8.81640625" customWidth="1"/>
    <col min="2" max="2" width="21.6328125" customWidth="1"/>
    <col min="5" max="5" width="8.7265625" customWidth="1"/>
    <col min="9" max="9" width="14.81640625" customWidth="1"/>
    <col min="10" max="10" width="18.453125" customWidth="1"/>
    <col min="11" max="11" width="22.90625" customWidth="1"/>
    <col min="14" max="14" width="17.6328125" customWidth="1"/>
  </cols>
  <sheetData>
    <row r="1" spans="1:14" ht="15" thickBot="1" x14ac:dyDescent="0.4">
      <c r="B1" s="1" t="s">
        <v>0</v>
      </c>
      <c r="C1" s="2" t="s">
        <v>11</v>
      </c>
      <c r="D1" s="2" t="s">
        <v>12</v>
      </c>
      <c r="E1" s="3" t="s">
        <v>13</v>
      </c>
      <c r="F1" s="2" t="s">
        <v>14</v>
      </c>
      <c r="G1" s="1" t="s">
        <v>22</v>
      </c>
      <c r="H1" s="1" t="s">
        <v>20</v>
      </c>
      <c r="I1" s="1" t="s">
        <v>21</v>
      </c>
      <c r="J1" s="2" t="s">
        <v>15</v>
      </c>
      <c r="K1" s="2" t="s">
        <v>16</v>
      </c>
      <c r="L1" s="2" t="s">
        <v>17</v>
      </c>
      <c r="M1" s="4" t="s">
        <v>18</v>
      </c>
      <c r="N1" s="2" t="s">
        <v>19</v>
      </c>
    </row>
    <row r="2" spans="1:14" x14ac:dyDescent="0.35">
      <c r="B2" s="8" t="s">
        <v>23</v>
      </c>
      <c r="E2" s="11"/>
    </row>
    <row r="3" spans="1:14" x14ac:dyDescent="0.35">
      <c r="A3">
        <v>1</v>
      </c>
      <c r="B3" s="5" t="s">
        <v>1</v>
      </c>
      <c r="C3" s="9">
        <f>AVERAGE(31.4,67.4)</f>
        <v>49.400000000000006</v>
      </c>
      <c r="D3" s="6">
        <f>AVERAGE(7.39, 7.01)</f>
        <v>7.1999999999999993</v>
      </c>
      <c r="E3" s="6">
        <f>AVERAGE(81.1,78.9)</f>
        <v>80</v>
      </c>
      <c r="F3" s="6">
        <f>AVERAGE(8.25,8.11)</f>
        <v>8.18</v>
      </c>
      <c r="G3" s="6">
        <f>AVERAGE(110,100)</f>
        <v>105</v>
      </c>
      <c r="H3" s="6">
        <f>AVERAGE(83,74)</f>
        <v>78.5</v>
      </c>
      <c r="I3" s="6">
        <f>AVERAGE(0.0091,0.01)</f>
        <v>9.5499999999999995E-3</v>
      </c>
      <c r="J3" s="6">
        <f>AVERAGE(55,50)</f>
        <v>52.5</v>
      </c>
      <c r="K3" s="6">
        <f>AVERAGE(11.83,11.39)</f>
        <v>11.61</v>
      </c>
      <c r="L3" s="7">
        <f>AVERAGE(0.6,0.2)</f>
        <v>0.4</v>
      </c>
      <c r="M3" s="7">
        <f>AVERAGE(1.5,0.5)</f>
        <v>1</v>
      </c>
      <c r="N3" s="7">
        <f>AVERAGE(1.9,0.7)</f>
        <v>1.2999999999999998</v>
      </c>
    </row>
    <row r="4" spans="1:14" x14ac:dyDescent="0.35">
      <c r="A4">
        <v>2</v>
      </c>
      <c r="B4" s="5" t="s">
        <v>2</v>
      </c>
      <c r="C4" s="9">
        <f>AVERAGE(154.9,147.4)</f>
        <v>151.15</v>
      </c>
      <c r="D4" s="6">
        <f>AVERAGE(7.08, 7.06)</f>
        <v>7.07</v>
      </c>
      <c r="E4" s="6">
        <f>AVERAGE(81.6,82.2)</f>
        <v>81.900000000000006</v>
      </c>
      <c r="F4" s="6">
        <f>AVERAGE(8.27,8.31)</f>
        <v>8.2899999999999991</v>
      </c>
      <c r="G4" s="6">
        <f>AVERAGE(117,116)</f>
        <v>116.5</v>
      </c>
      <c r="H4" s="6">
        <f>AVERAGE(90,88)</f>
        <v>89</v>
      </c>
      <c r="I4" s="6">
        <f>AVERAGE(0.0086,0.0086)</f>
        <v>8.6E-3</v>
      </c>
      <c r="J4" s="6">
        <f>AVERAGE(58,58)</f>
        <v>58</v>
      </c>
      <c r="K4" s="6">
        <f>AVERAGE(12.76,12.26)</f>
        <v>12.51</v>
      </c>
      <c r="L4" s="7">
        <f>AVERAGE(1,1.2)</f>
        <v>1.1000000000000001</v>
      </c>
      <c r="M4" s="7">
        <f>AVERAGE(2.3,2.7)</f>
        <v>2.5</v>
      </c>
      <c r="N4" s="7">
        <f>AVERAGE(3.1,3.6)</f>
        <v>3.35</v>
      </c>
    </row>
    <row r="5" spans="1:14" x14ac:dyDescent="0.35">
      <c r="A5">
        <v>3</v>
      </c>
      <c r="B5" s="5" t="s">
        <v>3</v>
      </c>
      <c r="C5" s="9">
        <f>AVERAGE(161.4,162.9)</f>
        <v>162.15</v>
      </c>
      <c r="D5" s="6">
        <f>AVERAGE(7.09, 7.1)</f>
        <v>7.0949999999999998</v>
      </c>
      <c r="E5" s="6">
        <f>AVERAGE(85.8,84.4)</f>
        <v>85.1</v>
      </c>
      <c r="F5" s="6">
        <f>AVERAGE(8.04,7.92)</f>
        <v>7.9799999999999995</v>
      </c>
      <c r="G5" s="6">
        <f>AVERAGE(438,431)</f>
        <v>434.5</v>
      </c>
      <c r="H5" s="6">
        <f>AVERAGE(358,354)</f>
        <v>356</v>
      </c>
      <c r="I5" s="6">
        <f>AVERAGE(0.0023,0.0023)</f>
        <v>2.3E-3</v>
      </c>
      <c r="J5" s="6">
        <f>AVERAGE(219,216)</f>
        <v>217.5</v>
      </c>
      <c r="K5" s="6">
        <f>AVERAGE(15.46,15.55)</f>
        <v>15.505000000000001</v>
      </c>
      <c r="L5" s="7">
        <f>AVERAGE(1.6,2.8)</f>
        <v>2.2000000000000002</v>
      </c>
      <c r="M5" s="7">
        <f>AVERAGE(3.6,6.4)</f>
        <v>5</v>
      </c>
      <c r="N5" s="7">
        <f>AVERAGE(4.8,8.5)</f>
        <v>6.65</v>
      </c>
    </row>
    <row r="6" spans="1:14" x14ac:dyDescent="0.35">
      <c r="A6">
        <v>4</v>
      </c>
      <c r="B6" s="5" t="s">
        <v>4</v>
      </c>
      <c r="C6" s="9">
        <f>AVERAGE(194.9,166.4)</f>
        <v>180.65</v>
      </c>
      <c r="D6" s="6">
        <f>AVERAGE(7.17, 7.1)</f>
        <v>7.1349999999999998</v>
      </c>
      <c r="E6" s="6">
        <f>AVERAGE(86.7,86.4)</f>
        <v>86.550000000000011</v>
      </c>
      <c r="F6" s="6">
        <f>AVERAGE(7.73,7.75)</f>
        <v>7.74</v>
      </c>
      <c r="G6" s="6">
        <f>AVERAGE(466,453)</f>
        <v>459.5</v>
      </c>
      <c r="H6" s="6">
        <f>AVERAGE(403,391)</f>
        <v>397</v>
      </c>
      <c r="I6" s="6">
        <f>AVERAGE(0.0022,0.0022)</f>
        <v>2.2000000000000001E-3</v>
      </c>
      <c r="J6" s="6">
        <f>AVERAGE(233,225)</f>
        <v>229</v>
      </c>
      <c r="K6" s="6">
        <f>AVERAGE(17.9,17.85)</f>
        <v>17.875</v>
      </c>
      <c r="L6" s="7">
        <f>AVERAGE(0.8,1)</f>
        <v>0.9</v>
      </c>
      <c r="M6" s="7">
        <f>AVERAGE(1.8,2.3)</f>
        <v>2.0499999999999998</v>
      </c>
      <c r="N6" s="7">
        <f>AVERAGE(2.4,3.1)</f>
        <v>2.75</v>
      </c>
    </row>
    <row r="7" spans="1:14" x14ac:dyDescent="0.35">
      <c r="A7">
        <v>5</v>
      </c>
      <c r="B7" s="5" t="s">
        <v>5</v>
      </c>
      <c r="C7" s="9">
        <f>AVERAGE(154.2,150.9)</f>
        <v>152.55000000000001</v>
      </c>
      <c r="D7" s="6">
        <f>AVERAGE(7.08, 7.08)</f>
        <v>7.08</v>
      </c>
      <c r="E7" s="6">
        <f>AVERAGE(83.1,81.2)</f>
        <v>82.15</v>
      </c>
      <c r="F7" s="6">
        <f>AVERAGE(7.52,7.15)</f>
        <v>7.335</v>
      </c>
      <c r="G7" s="6">
        <f>AVERAGE(426,429)</f>
        <v>427.5</v>
      </c>
      <c r="H7" s="6">
        <f>AVERAGE(366,368)</f>
        <v>367</v>
      </c>
      <c r="I7" s="6">
        <f>AVERAGE(0.0023,0.0023)</f>
        <v>2.3E-3</v>
      </c>
      <c r="J7" s="6">
        <f>AVERAGE(215,214)</f>
        <v>214.5</v>
      </c>
      <c r="K7" s="6">
        <f>AVERAGE(17.65,17.55)</f>
        <v>17.600000000000001</v>
      </c>
      <c r="L7" s="7">
        <f>AVERAGE(1.8,1.4)</f>
        <v>1.6</v>
      </c>
      <c r="M7" s="7">
        <f>AVERAGE(4.2,3.3)</f>
        <v>3.75</v>
      </c>
      <c r="N7" s="7">
        <f>AVERAGE(5.6,4.4)</f>
        <v>5</v>
      </c>
    </row>
    <row r="8" spans="1:14" x14ac:dyDescent="0.35">
      <c r="A8">
        <v>6</v>
      </c>
      <c r="B8" s="5" t="s">
        <v>6</v>
      </c>
      <c r="C8" s="9">
        <f>AVERAGE(246.1,144.9)</f>
        <v>195.5</v>
      </c>
      <c r="D8" s="6">
        <f>AVERAGE(7.67, 6.88)</f>
        <v>7.2750000000000004</v>
      </c>
      <c r="E8" s="6">
        <f>AVERAGE(30,46.2)</f>
        <v>38.1</v>
      </c>
      <c r="F8" s="6">
        <f>AVERAGE(2.66,4.22)</f>
        <v>3.44</v>
      </c>
      <c r="G8" s="6">
        <f>AVERAGE(380,353)</f>
        <v>366.5</v>
      </c>
      <c r="H8" s="6">
        <f>AVERAGE(254,253)</f>
        <v>253.5</v>
      </c>
      <c r="I8" s="6">
        <f>AVERAGE(0.0024,0.0021)</f>
        <v>2.2499999999999998E-3</v>
      </c>
      <c r="J8" s="6">
        <f>AVERAGE(149,150)</f>
        <v>149.5</v>
      </c>
      <c r="K8" s="6">
        <f>AVERAGE(17.36,16.77)</f>
        <v>17.064999999999998</v>
      </c>
      <c r="L8" s="7">
        <f>AVERAGE(1.9,1.4)</f>
        <v>1.65</v>
      </c>
      <c r="M8" s="7">
        <f>AVERAGE(4.3,3.1)</f>
        <v>3.7</v>
      </c>
      <c r="N8" s="7">
        <f>AVERAGE(5.7,4.2)</f>
        <v>4.95</v>
      </c>
    </row>
    <row r="9" spans="1:14" x14ac:dyDescent="0.35">
      <c r="A9">
        <v>7</v>
      </c>
      <c r="B9" s="5" t="s">
        <v>7</v>
      </c>
      <c r="C9" s="9">
        <f>AVERAGE(60.1,46.8)</f>
        <v>53.45</v>
      </c>
      <c r="D9" s="6">
        <f>AVERAGE(7.21,7.21)</f>
        <v>7.21</v>
      </c>
      <c r="E9" s="6">
        <f>AVERAGE(57.5,53.1)</f>
        <v>55.3</v>
      </c>
      <c r="F9" s="6">
        <f>AVERAGE(5.49,5.03)</f>
        <v>5.26</v>
      </c>
      <c r="G9" s="6">
        <f>AVERAGE(629,604)</f>
        <v>616.5</v>
      </c>
      <c r="H9" s="6">
        <f>AVERAGE(583,540)</f>
        <v>561.5</v>
      </c>
      <c r="I9" s="6">
        <f>AVERAGE(0.005,0.0013)</f>
        <v>3.15E-3</v>
      </c>
      <c r="J9" s="6">
        <f>AVERAGE(395,390)</f>
        <v>392.5</v>
      </c>
      <c r="K9" s="6">
        <f>AVERAGE(14.29,14.41)</f>
        <v>14.35</v>
      </c>
      <c r="L9" s="7">
        <f>AVERAGE(1.3,1.6)</f>
        <v>1.4500000000000002</v>
      </c>
      <c r="M9" s="7">
        <f>AVERAGE(2.9,3.6)</f>
        <v>3.25</v>
      </c>
      <c r="N9" s="7">
        <f>AVERAGE(3.9,4.8)</f>
        <v>4.3499999999999996</v>
      </c>
    </row>
    <row r="10" spans="1:14" x14ac:dyDescent="0.35">
      <c r="A10">
        <v>8</v>
      </c>
      <c r="B10" s="5" t="s">
        <v>8</v>
      </c>
      <c r="C10" s="9">
        <f>AVERAGE(102.5,28,7)</f>
        <v>45.833333333333336</v>
      </c>
      <c r="D10" s="6">
        <f>AVERAGE(7.09,7.03)</f>
        <v>7.0600000000000005</v>
      </c>
      <c r="E10" s="6">
        <f>AVERAGE(73.1,67.3)</f>
        <v>70.199999999999989</v>
      </c>
      <c r="F10" s="6">
        <f>AVERAGE(6.99,6.38)</f>
        <v>6.6850000000000005</v>
      </c>
      <c r="G10" s="6">
        <f>AVERAGE(589,544)</f>
        <v>566.5</v>
      </c>
      <c r="H10" s="6">
        <f>AVERAGE(493,508)</f>
        <v>500.5</v>
      </c>
      <c r="I10" s="6">
        <f>AVERAGE(0.008,0.0018)</f>
        <v>4.8999999999999998E-3</v>
      </c>
      <c r="J10" s="6">
        <f>AVERAGE(334,305)</f>
        <v>319.5</v>
      </c>
      <c r="K10" s="6">
        <f>AVERAGE(13.99,14.67)</f>
        <v>14.33</v>
      </c>
      <c r="L10" s="7">
        <f>AVERAGE(0.4,0.5)</f>
        <v>0.45</v>
      </c>
      <c r="M10" s="7">
        <f>AVERAGE(0.9,1.1)</f>
        <v>1</v>
      </c>
      <c r="N10" s="7">
        <f>AVERAGE(1.2,1.4)</f>
        <v>1.2999999999999998</v>
      </c>
    </row>
    <row r="11" spans="1:14" x14ac:dyDescent="0.35">
      <c r="A11">
        <v>9</v>
      </c>
      <c r="B11" s="5" t="s">
        <v>9</v>
      </c>
      <c r="C11" s="9">
        <f>AVERAGE(103.4,31.2)</f>
        <v>67.3</v>
      </c>
      <c r="D11" s="6">
        <f>AVERAGE(7.29,6.92)</f>
        <v>7.1050000000000004</v>
      </c>
      <c r="E11" s="6">
        <f>AVERAGE(60.8,59.4)</f>
        <v>60.099999999999994</v>
      </c>
      <c r="F11" s="6">
        <f>AVERAGE(5.39,5.36)</f>
        <v>5.375</v>
      </c>
      <c r="G11" s="6">
        <f>AVERAGE(369,353)</f>
        <v>361</v>
      </c>
      <c r="H11" s="6">
        <f>AVERAGE(312,299)</f>
        <v>305.5</v>
      </c>
      <c r="I11" s="6">
        <f>AVERAGE(0.0027,0.0028)</f>
        <v>2.7499999999999998E-3</v>
      </c>
      <c r="J11" s="6">
        <f>AVERAGE(185,176)</f>
        <v>180.5</v>
      </c>
      <c r="K11" s="6">
        <f>AVERAGE(16.86,17.05)</f>
        <v>16.954999999999998</v>
      </c>
      <c r="L11" s="7">
        <f>AVERAGE(1.2,0.8)</f>
        <v>1</v>
      </c>
      <c r="M11" s="7">
        <f>AVERAGE(2.7,1.9)</f>
        <v>2.2999999999999998</v>
      </c>
      <c r="N11" s="7">
        <f>AVERAGE(3.6,2.5)</f>
        <v>3.05</v>
      </c>
    </row>
    <row r="12" spans="1:14" x14ac:dyDescent="0.35">
      <c r="A12">
        <v>10</v>
      </c>
      <c r="B12" s="5" t="s">
        <v>10</v>
      </c>
      <c r="C12" s="9">
        <f>AVERAGE(179.8,202.1)</f>
        <v>190.95</v>
      </c>
      <c r="D12" s="6">
        <f>AVERAGE(7.32,7.31)</f>
        <v>7.3149999999999995</v>
      </c>
      <c r="E12" s="6">
        <f>AVERAGE(109.1,111.2)</f>
        <v>110.15</v>
      </c>
      <c r="F12" s="6">
        <f>AVERAGE(10.19,10.48)</f>
        <v>10.335000000000001</v>
      </c>
      <c r="G12" s="6">
        <f>AVERAGE(336,332)</f>
        <v>334</v>
      </c>
      <c r="H12" s="6">
        <f>AVERAGE(270,267)</f>
        <v>268.5</v>
      </c>
      <c r="I12" s="6">
        <f>AVERAGE(0.003,0.003)</f>
        <v>3.0000000000000001E-3</v>
      </c>
      <c r="J12" s="6">
        <f>AVERAGE(168,166)</f>
        <v>167</v>
      </c>
      <c r="K12" s="6">
        <f>AVERAGE(14.66,14.78)</f>
        <v>14.719999999999999</v>
      </c>
      <c r="L12" s="7">
        <f>AVERAGE(1.3,0.5)</f>
        <v>0.9</v>
      </c>
      <c r="M12" s="7">
        <f>AVERAGE(3,0.7)</f>
        <v>1.85</v>
      </c>
      <c r="N12" s="7">
        <f>AVERAGE(4,1)</f>
        <v>2.5</v>
      </c>
    </row>
    <row r="13" spans="1:14" x14ac:dyDescent="0.35">
      <c r="B13" t="s">
        <v>25</v>
      </c>
      <c r="C13" s="12">
        <f>AVERAGE(C3:C12)</f>
        <v>124.89333333333336</v>
      </c>
      <c r="D13" s="12">
        <f t="shared" ref="D13:N13" si="0">AVERAGE(D3:D12)</f>
        <v>7.1545000000000005</v>
      </c>
      <c r="E13" s="12">
        <f t="shared" si="0"/>
        <v>74.955000000000013</v>
      </c>
      <c r="F13" s="12">
        <f t="shared" si="0"/>
        <v>7.0620000000000003</v>
      </c>
      <c r="G13" s="12">
        <f t="shared" si="0"/>
        <v>378.75</v>
      </c>
      <c r="H13" s="12">
        <f t="shared" si="0"/>
        <v>317.7</v>
      </c>
      <c r="I13" s="12">
        <f t="shared" si="0"/>
        <v>4.1000000000000003E-3</v>
      </c>
      <c r="J13" s="12">
        <f t="shared" si="0"/>
        <v>198.05</v>
      </c>
      <c r="K13" s="12">
        <f t="shared" si="0"/>
        <v>15.251999999999999</v>
      </c>
      <c r="L13" s="12">
        <f t="shared" si="0"/>
        <v>1.165</v>
      </c>
      <c r="M13" s="12">
        <f t="shared" si="0"/>
        <v>2.64</v>
      </c>
      <c r="N13" s="12">
        <f t="shared" si="0"/>
        <v>3.5200000000000005</v>
      </c>
    </row>
    <row r="14" spans="1:14" x14ac:dyDescent="0.35">
      <c r="C14" s="10">
        <f>AVERAGE(C3:C12)</f>
        <v>124.89333333333336</v>
      </c>
    </row>
    <row r="15" spans="1:14" x14ac:dyDescent="0.35">
      <c r="B15" s="8" t="s">
        <v>24</v>
      </c>
      <c r="C15" s="10"/>
    </row>
    <row r="16" spans="1:14" x14ac:dyDescent="0.35">
      <c r="A16">
        <v>1</v>
      </c>
      <c r="B16" s="5" t="s">
        <v>1</v>
      </c>
      <c r="C16" s="9">
        <f>AVERAGE(96.4,100.9)</f>
        <v>98.65</v>
      </c>
      <c r="D16" s="6">
        <f>AVERAGE(8.65,8.69)</f>
        <v>8.67</v>
      </c>
      <c r="E16" s="6">
        <f>AVERAGE(48.7,45.1)</f>
        <v>46.900000000000006</v>
      </c>
      <c r="F16" s="6">
        <f>AVERAGE(2.9,3.8)</f>
        <v>3.3499999999999996</v>
      </c>
      <c r="G16" s="6">
        <f>AVERAGE(128.9,155.1)</f>
        <v>142</v>
      </c>
      <c r="H16" s="6">
        <f>AVERAGE(178.9,184.5)</f>
        <v>181.7</v>
      </c>
      <c r="I16" s="6">
        <f>AVERAGE(7.76,6.44)</f>
        <v>7.1</v>
      </c>
      <c r="J16" s="6">
        <f>AVERAGE(91.5,110.2)</f>
        <v>100.85</v>
      </c>
      <c r="K16" s="6">
        <f>AVERAGE(18.9,18.8)</f>
        <v>18.850000000000001</v>
      </c>
      <c r="L16" s="7">
        <f>AVERAGE(1.3,2.1)</f>
        <v>1.7000000000000002</v>
      </c>
      <c r="M16" s="7">
        <f>AVERAGE(3,4.8)</f>
        <v>3.9</v>
      </c>
      <c r="N16" s="7">
        <f>AVERAGE(4,6.4)</f>
        <v>5.2</v>
      </c>
    </row>
    <row r="17" spans="1:14" x14ac:dyDescent="0.35">
      <c r="A17">
        <v>2</v>
      </c>
      <c r="B17" s="5" t="s">
        <v>2</v>
      </c>
      <c r="C17" s="9">
        <f>AVERAGE(54.7,82.8)</f>
        <v>68.75</v>
      </c>
      <c r="D17" s="6">
        <f>AVERAGE(7.95,8.4)</f>
        <v>8.1750000000000007</v>
      </c>
      <c r="E17" s="6">
        <f>AVERAGE(54.7,82.8)</f>
        <v>68.75</v>
      </c>
      <c r="F17" s="6">
        <f>AVERAGE(60.2,72.6)</f>
        <v>66.400000000000006</v>
      </c>
      <c r="G17" s="6">
        <f>AVERAGE(210,194)</f>
        <v>202</v>
      </c>
      <c r="H17" s="6">
        <f>AVERAGE(99.5,91.8)</f>
        <v>95.65</v>
      </c>
      <c r="I17" s="6">
        <f>AVERAGE(4.76,5.14)</f>
        <v>4.9499999999999993</v>
      </c>
      <c r="J17" s="6">
        <f>AVERAGE(149.2,138.1)</f>
        <v>143.64999999999998</v>
      </c>
      <c r="K17" s="6">
        <f>AVERAGE(19.6,19.6)</f>
        <v>19.600000000000001</v>
      </c>
      <c r="L17" s="7">
        <f>AVERAGE(1,0.9)</f>
        <v>0.95</v>
      </c>
      <c r="M17" s="7">
        <f>AVERAGE(2.3,2.2)</f>
        <v>2.25</v>
      </c>
      <c r="N17" s="7">
        <f>AVERAGE(3.1,2.9)</f>
        <v>3</v>
      </c>
    </row>
    <row r="18" spans="1:14" x14ac:dyDescent="0.35">
      <c r="A18">
        <v>3</v>
      </c>
      <c r="B18" s="5" t="s">
        <v>3</v>
      </c>
      <c r="C18" s="9">
        <f>AVERAGE(50.9,48.7)</f>
        <v>49.8</v>
      </c>
      <c r="D18" s="6">
        <f>AVERAGE(7.86,7.82)</f>
        <v>7.84</v>
      </c>
      <c r="E18" s="6">
        <f>AVERAGE(50.9,48.7)</f>
        <v>49.8</v>
      </c>
      <c r="F18" s="6">
        <f>AVERAGE(123,72.8)</f>
        <v>97.9</v>
      </c>
      <c r="G18" s="6">
        <f>AVERAGE(490,487)</f>
        <v>488.5</v>
      </c>
      <c r="H18" s="6">
        <f>AVERAGE(235,234)</f>
        <v>234.5</v>
      </c>
      <c r="I18" s="6">
        <f>AVERAGE(2.05,2.05)</f>
        <v>2.0499999999999998</v>
      </c>
      <c r="J18" s="6">
        <f>AVERAGE(348,345)</f>
        <v>346.5</v>
      </c>
      <c r="K18" s="6">
        <f>AVERAGE(21.8,21.9)</f>
        <v>21.85</v>
      </c>
      <c r="L18" s="7">
        <f>AVERAGE(2.6,1.6)</f>
        <v>2.1</v>
      </c>
      <c r="M18" s="7">
        <f>AVERAGE(5.9,3.8)</f>
        <v>4.8499999999999996</v>
      </c>
      <c r="N18" s="7">
        <f>AVERAGE(7.9,5)</f>
        <v>6.45</v>
      </c>
    </row>
    <row r="19" spans="1:14" x14ac:dyDescent="0.35">
      <c r="A19">
        <v>4</v>
      </c>
      <c r="B19" s="5" t="s">
        <v>4</v>
      </c>
      <c r="C19" s="9">
        <f>AVERAGE(76,63.9)</f>
        <v>69.95</v>
      </c>
      <c r="D19" s="6">
        <f>AVERAGE(7.17,7.1)</f>
        <v>7.1349999999999998</v>
      </c>
      <c r="E19" s="6">
        <f>AVERAGE(400,210)</f>
        <v>305</v>
      </c>
      <c r="F19" s="6">
        <f>AVERAGE(400,210)</f>
        <v>305</v>
      </c>
      <c r="G19" s="6">
        <f>AVERAGE(449,449)</f>
        <v>449</v>
      </c>
      <c r="H19" s="6">
        <f>AVERAGE(215,449)</f>
        <v>332</v>
      </c>
      <c r="I19" s="6">
        <f>AVERAGE(2.23,2.23)</f>
        <v>2.23</v>
      </c>
      <c r="J19" s="6">
        <f>AVERAGE(319,319)</f>
        <v>319</v>
      </c>
      <c r="K19" s="6">
        <f>AVERAGE(24.1,23.9)</f>
        <v>24</v>
      </c>
      <c r="L19" s="7">
        <f>AVERAGE(1.3,0.4)</f>
        <v>0.85000000000000009</v>
      </c>
      <c r="M19" s="7">
        <f>AVERAGE(2.9,0.9)</f>
        <v>1.9</v>
      </c>
      <c r="N19" s="7">
        <f>AVERAGE(3.9,1.2)</f>
        <v>2.5499999999999998</v>
      </c>
    </row>
    <row r="20" spans="1:14" x14ac:dyDescent="0.35">
      <c r="A20">
        <v>5</v>
      </c>
      <c r="B20" s="5" t="s">
        <v>5</v>
      </c>
      <c r="C20" s="9">
        <f>AVERAGE(116.3,131.9)</f>
        <v>124.1</v>
      </c>
      <c r="D20" s="6">
        <f>AVERAGE(9.04,9.3)</f>
        <v>9.17</v>
      </c>
      <c r="E20" s="6">
        <f>AVERAGE(149.5,155.6)</f>
        <v>152.55000000000001</v>
      </c>
      <c r="F20" s="6">
        <f>AVERAGE(150.3,155.6)</f>
        <v>152.94999999999999</v>
      </c>
      <c r="G20" s="6">
        <f>AVERAGE(390,404)</f>
        <v>397</v>
      </c>
      <c r="H20" s="6">
        <f>AVERAGE(186.5,193.7)</f>
        <v>190.1</v>
      </c>
      <c r="I20" s="6">
        <f>AVERAGE(2.57,2.47)</f>
        <v>2.52</v>
      </c>
      <c r="J20" s="6">
        <f>AVERAGE(277,287)</f>
        <v>282</v>
      </c>
      <c r="K20" s="6">
        <f>AVERAGE(19.7,20.3)</f>
        <v>20</v>
      </c>
      <c r="L20" s="7">
        <f>AVERAGE(1.6,1.7)</f>
        <v>1.65</v>
      </c>
      <c r="M20" s="7">
        <f>AVERAGE(3.6,3.9)</f>
        <v>3.75</v>
      </c>
      <c r="N20" s="7">
        <f>AVERAGE(4.8,5.3)</f>
        <v>5.05</v>
      </c>
    </row>
    <row r="21" spans="1:14" x14ac:dyDescent="0.35">
      <c r="A21">
        <v>6</v>
      </c>
      <c r="B21" s="5" t="s">
        <v>6</v>
      </c>
      <c r="C21" s="9">
        <f>AVERAGE(45.8,35)</f>
        <v>40.4</v>
      </c>
      <c r="D21" s="6">
        <f>AVERAGE(7.74,7.61)</f>
        <v>7.6750000000000007</v>
      </c>
      <c r="E21" s="6">
        <f>AVERAGE(80.2,44.6)</f>
        <v>62.400000000000006</v>
      </c>
      <c r="F21" s="6">
        <f>AVERAGE(80.2,44.6)</f>
        <v>62.400000000000006</v>
      </c>
      <c r="G21" s="6">
        <f>AVERAGE(306,313)</f>
        <v>309.5</v>
      </c>
      <c r="H21" s="6">
        <f>AVERAGE(145.7,149.2)</f>
        <v>147.44999999999999</v>
      </c>
      <c r="I21" s="6">
        <f>AVERAGE(3.27,3.19)</f>
        <v>3.23</v>
      </c>
      <c r="J21" s="6">
        <f>AVERAGE(217,222)</f>
        <v>219.5</v>
      </c>
      <c r="K21" s="6">
        <f>AVERAGE(21.5,19.1)</f>
        <v>20.3</v>
      </c>
      <c r="L21" s="7">
        <f>AVERAGE(0.7,0.6)</f>
        <v>0.64999999999999991</v>
      </c>
      <c r="M21" s="7">
        <f>AVERAGE(1.6,1.8)</f>
        <v>1.7000000000000002</v>
      </c>
      <c r="N21" s="7">
        <f>AVERAGE(2.1,3.8)</f>
        <v>2.95</v>
      </c>
    </row>
    <row r="22" spans="1:14" x14ac:dyDescent="0.35">
      <c r="A22">
        <v>7</v>
      </c>
      <c r="B22" s="5" t="s">
        <v>7</v>
      </c>
      <c r="C22" s="9">
        <f>AVERAGE(75.8,42.1)</f>
        <v>58.95</v>
      </c>
      <c r="D22" s="6">
        <f>AVERAGE(8.33,7.71)</f>
        <v>8.02</v>
      </c>
      <c r="E22" s="6">
        <f>AVERAGE(233.4,135.3)</f>
        <v>184.35000000000002</v>
      </c>
      <c r="F22" s="6">
        <f>AVERAGE(233.4,135.3)</f>
        <v>184.35000000000002</v>
      </c>
      <c r="G22" s="6">
        <f>AVERAGE(825,828)</f>
        <v>826.5</v>
      </c>
      <c r="H22" s="6">
        <f>AVERAGE(402,404)</f>
        <v>403</v>
      </c>
      <c r="I22" s="6">
        <f>AVERAGE(1.21,1.21)</f>
        <v>1.21</v>
      </c>
      <c r="J22" s="6">
        <f>AVERAGE(586,588)</f>
        <v>587</v>
      </c>
      <c r="K22" s="6">
        <f>AVERAGE(22.1,21.5)</f>
        <v>21.8</v>
      </c>
      <c r="L22" s="7">
        <f>AVERAGE(2,1.1)</f>
        <v>1.55</v>
      </c>
      <c r="M22" s="7">
        <f>AVERAGE(4.7,2.4)</f>
        <v>3.55</v>
      </c>
      <c r="N22" s="7">
        <f>AVERAGE(6.2,3.2)</f>
        <v>4.7</v>
      </c>
    </row>
    <row r="23" spans="1:14" x14ac:dyDescent="0.35">
      <c r="A23">
        <v>8</v>
      </c>
      <c r="B23" s="5" t="s">
        <v>8</v>
      </c>
      <c r="C23" s="9">
        <f>AVERAGE(25.8,28.1)</f>
        <v>26.950000000000003</v>
      </c>
      <c r="D23" s="6">
        <f>AVERAGE(7.43,7.47)</f>
        <v>7.4499999999999993</v>
      </c>
      <c r="E23" s="6">
        <f>AVERAGE(147.5,31.3)</f>
        <v>89.4</v>
      </c>
      <c r="F23" s="6">
        <f>AVERAGE(147.5,31.3)</f>
        <v>89.4</v>
      </c>
      <c r="G23" s="6">
        <f>AVERAGE(772,763)</f>
        <v>767.5</v>
      </c>
      <c r="H23" s="6">
        <f>AVERAGE(376,370)</f>
        <v>373</v>
      </c>
      <c r="I23" s="6">
        <f>AVERAGE(1.29,1.31)</f>
        <v>1.3</v>
      </c>
      <c r="J23" s="6">
        <f>AVERAGE(548,541)</f>
        <v>544.5</v>
      </c>
      <c r="K23" s="6">
        <f>AVERAGE(23.4,23.6)</f>
        <v>23.5</v>
      </c>
      <c r="L23" s="7">
        <f>AVERAGE(1.5,1.8)</f>
        <v>1.65</v>
      </c>
      <c r="M23" s="7">
        <f>AVERAGE(3.5,4.2)</f>
        <v>3.85</v>
      </c>
      <c r="N23" s="7">
        <f>AVERAGE(4.6,5.6)</f>
        <v>5.0999999999999996</v>
      </c>
    </row>
    <row r="24" spans="1:14" x14ac:dyDescent="0.35">
      <c r="A24">
        <v>9</v>
      </c>
      <c r="B24" s="5" t="s">
        <v>9</v>
      </c>
      <c r="C24" s="6">
        <f>AVERAGE(99.9,122.4)</f>
        <v>111.15</v>
      </c>
      <c r="D24" s="6">
        <f>AVERAGE(8.59,9.03)</f>
        <v>8.8099999999999987</v>
      </c>
      <c r="E24" s="6">
        <f>AVERAGE(115.8,116.5)</f>
        <v>116.15</v>
      </c>
      <c r="F24" s="6">
        <f>AVERAGE(115.8,116.5)</f>
        <v>116.15</v>
      </c>
      <c r="G24" s="6">
        <f>AVERAGE(398,395)</f>
        <v>396.5</v>
      </c>
      <c r="H24" s="6">
        <f>AVERAGE(190.4,189.1)</f>
        <v>189.75</v>
      </c>
      <c r="I24" s="6">
        <f>AVERAGE(2.51,2.53)</f>
        <v>2.5199999999999996</v>
      </c>
      <c r="J24" s="6">
        <f>AVERAGE(283,281)</f>
        <v>282</v>
      </c>
      <c r="K24" s="6">
        <f>AVERAGE(25.9,25.8)</f>
        <v>25.85</v>
      </c>
      <c r="L24" s="7">
        <f>AVERAGEA(1.9,2)</f>
        <v>1.95</v>
      </c>
      <c r="M24" s="7">
        <f>AVERAGE(4.4,4.5)</f>
        <v>4.45</v>
      </c>
      <c r="N24" s="7">
        <f>AVERAGE(5.9,6)</f>
        <v>5.95</v>
      </c>
    </row>
    <row r="25" spans="1:14" x14ac:dyDescent="0.35">
      <c r="A25">
        <v>10</v>
      </c>
      <c r="B25" s="5" t="s">
        <v>10</v>
      </c>
      <c r="C25" s="6">
        <f>AVERAGE(73.4,74.2)</f>
        <v>73.800000000000011</v>
      </c>
      <c r="D25" s="6">
        <f>AVERAGE(8.24,8.28)</f>
        <v>8.26</v>
      </c>
      <c r="E25" s="6">
        <f>AVERAGE(134.7,205.4)</f>
        <v>170.05</v>
      </c>
      <c r="F25" s="6">
        <f>AVERAGE(134.7,205.4)</f>
        <v>170.05</v>
      </c>
      <c r="G25" s="6">
        <f>AVERAGE(355,354)</f>
        <v>354.5</v>
      </c>
      <c r="H25" s="6">
        <f>AVERAGE(169.5,169.2)</f>
        <v>169.35</v>
      </c>
      <c r="I25" s="6">
        <f>AVERAGE(2.82,2.82)</f>
        <v>2.82</v>
      </c>
      <c r="J25" s="6">
        <f>AVERAGE(252,252)</f>
        <v>252</v>
      </c>
      <c r="K25" s="6">
        <f>AVERAGE(21.9,21.5)</f>
        <v>21.7</v>
      </c>
      <c r="L25" s="7">
        <f>AVERAGE(1.6,0.9)</f>
        <v>1.25</v>
      </c>
      <c r="M25" s="7">
        <f>AVERAGE(3.7,2.1)</f>
        <v>2.9000000000000004</v>
      </c>
      <c r="N25" s="7">
        <f>AVERAGE(5,2.5)</f>
        <v>3.75</v>
      </c>
    </row>
    <row r="26" spans="1:14" x14ac:dyDescent="0.35">
      <c r="B26" t="s">
        <v>26</v>
      </c>
      <c r="C26" s="12">
        <f>AVERAGE(C16:C25)</f>
        <v>72.25</v>
      </c>
      <c r="D26" s="12">
        <f t="shared" ref="D26:N26" si="1">AVERAGE(D16:D25)</f>
        <v>8.1205000000000016</v>
      </c>
      <c r="E26" s="12">
        <f t="shared" si="1"/>
        <v>124.535</v>
      </c>
      <c r="F26" s="12">
        <f t="shared" si="1"/>
        <v>124.79499999999999</v>
      </c>
      <c r="G26" s="12">
        <f t="shared" si="1"/>
        <v>433.3</v>
      </c>
      <c r="H26" s="12">
        <f t="shared" si="1"/>
        <v>231.65</v>
      </c>
      <c r="I26" s="12">
        <f t="shared" si="1"/>
        <v>2.9929999999999999</v>
      </c>
      <c r="J26" s="12">
        <f t="shared" si="1"/>
        <v>307.7</v>
      </c>
      <c r="K26" s="12">
        <f t="shared" si="1"/>
        <v>21.744999999999997</v>
      </c>
      <c r="L26" s="12">
        <f t="shared" si="1"/>
        <v>1.4300000000000002</v>
      </c>
      <c r="M26" s="12">
        <f t="shared" si="1"/>
        <v>3.31</v>
      </c>
      <c r="N26" s="12">
        <f t="shared" si="1"/>
        <v>4.4700000000000006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62C5-6232-4896-8D08-FC50119DE497}">
  <dimension ref="A1:AA7"/>
  <sheetViews>
    <sheetView workbookViewId="0">
      <selection activeCell="C6" sqref="C6"/>
    </sheetView>
  </sheetViews>
  <sheetFormatPr defaultRowHeight="14.5" x14ac:dyDescent="0.35"/>
  <cols>
    <col min="11" max="11" width="15" customWidth="1"/>
    <col min="12" max="12" width="14.81640625" customWidth="1"/>
    <col min="13" max="13" width="20.1796875" customWidth="1"/>
    <col min="25" max="25" width="7.26953125" customWidth="1"/>
  </cols>
  <sheetData>
    <row r="1" spans="1:27" ht="15" thickBot="1" x14ac:dyDescent="0.4">
      <c r="B1" s="13" t="s">
        <v>30</v>
      </c>
      <c r="C1" s="13" t="s">
        <v>11</v>
      </c>
      <c r="D1" s="13" t="s">
        <v>12</v>
      </c>
      <c r="E1" s="14" t="s">
        <v>29</v>
      </c>
      <c r="F1" s="13" t="s">
        <v>14</v>
      </c>
      <c r="G1" s="15" t="s">
        <v>22</v>
      </c>
      <c r="H1" s="15" t="s">
        <v>20</v>
      </c>
      <c r="I1" s="15" t="s">
        <v>21</v>
      </c>
      <c r="J1" s="13" t="s">
        <v>15</v>
      </c>
      <c r="K1" s="13" t="s">
        <v>17</v>
      </c>
      <c r="L1" s="16" t="s">
        <v>18</v>
      </c>
      <c r="M1" s="13" t="s">
        <v>19</v>
      </c>
      <c r="P1" s="13" t="s">
        <v>11</v>
      </c>
      <c r="Q1" s="13" t="s">
        <v>12</v>
      </c>
      <c r="R1" s="14" t="s">
        <v>29</v>
      </c>
      <c r="S1" s="13" t="s">
        <v>14</v>
      </c>
      <c r="T1" s="15" t="s">
        <v>22</v>
      </c>
      <c r="U1" s="15" t="s">
        <v>20</v>
      </c>
      <c r="V1" s="15" t="s">
        <v>21</v>
      </c>
      <c r="W1" s="13" t="s">
        <v>15</v>
      </c>
      <c r="X1" s="13" t="s">
        <v>30</v>
      </c>
      <c r="Y1" s="13" t="s">
        <v>51</v>
      </c>
      <c r="Z1" s="16" t="s">
        <v>52</v>
      </c>
      <c r="AA1" s="13" t="s">
        <v>53</v>
      </c>
    </row>
    <row r="2" spans="1:27" x14ac:dyDescent="0.35">
      <c r="A2" s="17" t="s">
        <v>23</v>
      </c>
      <c r="B2" s="18">
        <v>15.251999999999999</v>
      </c>
      <c r="C2" s="18">
        <v>124.89333333333336</v>
      </c>
      <c r="D2" s="18">
        <v>7.1545000000000005</v>
      </c>
      <c r="E2" s="18">
        <v>74.955000000000013</v>
      </c>
      <c r="F2" s="18">
        <v>7.0620000000000003</v>
      </c>
      <c r="G2" s="18">
        <v>378.75</v>
      </c>
      <c r="H2" s="18">
        <v>317.7</v>
      </c>
      <c r="I2" s="18">
        <v>4.1000000000000003E-3</v>
      </c>
      <c r="J2" s="18">
        <v>198.05</v>
      </c>
      <c r="K2" s="18">
        <v>1.165</v>
      </c>
      <c r="L2" s="18">
        <v>2.64</v>
      </c>
      <c r="M2" s="18">
        <v>3.5200000000000005</v>
      </c>
      <c r="O2" s="17" t="s">
        <v>27</v>
      </c>
      <c r="P2" s="18">
        <v>124.89333333333336</v>
      </c>
      <c r="Q2" s="18">
        <v>7.1545000000000005</v>
      </c>
      <c r="R2" s="18">
        <v>74.955000000000013</v>
      </c>
      <c r="S2" s="18">
        <v>7.0620000000000003</v>
      </c>
      <c r="T2" s="18">
        <v>378.75</v>
      </c>
      <c r="U2" s="18">
        <v>317.7</v>
      </c>
      <c r="V2" s="18">
        <v>4.1000000000000003E-3</v>
      </c>
      <c r="W2" s="18">
        <v>198.05</v>
      </c>
      <c r="X2" s="18">
        <v>15.251999999999999</v>
      </c>
      <c r="Y2" s="18">
        <v>1.165</v>
      </c>
      <c r="Z2" s="18">
        <v>2.64</v>
      </c>
      <c r="AA2" s="18">
        <v>3.5200000000000005</v>
      </c>
    </row>
    <row r="3" spans="1:27" x14ac:dyDescent="0.35">
      <c r="A3" s="17" t="s">
        <v>24</v>
      </c>
      <c r="B3" s="18">
        <v>21.744999999999997</v>
      </c>
      <c r="C3" s="18">
        <v>72.25</v>
      </c>
      <c r="D3" s="18">
        <v>8.1205000000000016</v>
      </c>
      <c r="E3" s="18">
        <v>124.535</v>
      </c>
      <c r="F3" s="18">
        <v>124.79499999999999</v>
      </c>
      <c r="G3" s="18">
        <v>433.3</v>
      </c>
      <c r="H3" s="18">
        <v>231.65</v>
      </c>
      <c r="I3" s="18">
        <v>2.9929999999999999</v>
      </c>
      <c r="J3" s="18">
        <v>307.7</v>
      </c>
      <c r="K3" s="18">
        <v>1.4300000000000002</v>
      </c>
      <c r="L3" s="18">
        <v>3.31</v>
      </c>
      <c r="M3" s="18">
        <v>4.4700000000000006</v>
      </c>
      <c r="O3" s="17" t="s">
        <v>28</v>
      </c>
      <c r="P3" s="18">
        <v>72.25</v>
      </c>
      <c r="Q3" s="18">
        <v>8.1205000000000016</v>
      </c>
      <c r="R3" s="18">
        <v>124.535</v>
      </c>
      <c r="S3" s="18">
        <v>124.79499999999999</v>
      </c>
      <c r="T3" s="18">
        <v>433.3</v>
      </c>
      <c r="U3" s="18">
        <v>231.65</v>
      </c>
      <c r="V3" s="18">
        <v>2.9929999999999999</v>
      </c>
      <c r="W3" s="18">
        <v>307.7</v>
      </c>
      <c r="X3" s="18">
        <v>21.744999999999997</v>
      </c>
      <c r="Y3" s="18">
        <v>1.4300000000000002</v>
      </c>
      <c r="Z3" s="18">
        <v>3.31</v>
      </c>
      <c r="AA3" s="18">
        <v>4.4700000000000006</v>
      </c>
    </row>
    <row r="4" spans="1:27" x14ac:dyDescent="0.35">
      <c r="A4" s="34" t="s">
        <v>54</v>
      </c>
    </row>
    <row r="5" spans="1:27" x14ac:dyDescent="0.35">
      <c r="B5" s="32"/>
      <c r="C5" s="32"/>
      <c r="D5" s="33"/>
      <c r="E5" s="32"/>
      <c r="F5" s="32"/>
      <c r="G5" s="32"/>
      <c r="H5" s="32"/>
      <c r="I5" s="32"/>
      <c r="J5" s="32"/>
      <c r="K5" s="32"/>
      <c r="L5" s="32"/>
      <c r="M5" s="32"/>
    </row>
    <row r="6" spans="1:27" x14ac:dyDescent="0.35">
      <c r="A6" s="32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</row>
    <row r="7" spans="1:27" x14ac:dyDescent="0.35">
      <c r="A7" s="32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5A3B7-88AA-4107-8F64-EBE5B5412CBB}">
  <dimension ref="A1:K42"/>
  <sheetViews>
    <sheetView tabSelected="1" topLeftCell="A23" workbookViewId="0">
      <selection activeCell="B31" sqref="B31:H41"/>
    </sheetView>
  </sheetViews>
  <sheetFormatPr defaultRowHeight="14.5" x14ac:dyDescent="0.35"/>
  <sheetData>
    <row r="1" spans="1:11" x14ac:dyDescent="0.35">
      <c r="A1" t="s">
        <v>31</v>
      </c>
    </row>
    <row r="2" spans="1:11" ht="15" thickBot="1" x14ac:dyDescent="0.4"/>
    <row r="3" spans="1:11" ht="15.5" thickTop="1" thickBot="1" x14ac:dyDescent="0.4">
      <c r="A3" s="23"/>
      <c r="B3" s="28" t="s">
        <v>32</v>
      </c>
      <c r="C3" s="28" t="s">
        <v>33</v>
      </c>
      <c r="D3" s="28" t="s">
        <v>12</v>
      </c>
      <c r="E3" s="28" t="s">
        <v>34</v>
      </c>
      <c r="F3" s="28" t="s">
        <v>35</v>
      </c>
      <c r="G3" s="28" t="s">
        <v>36</v>
      </c>
      <c r="H3" s="28" t="s">
        <v>37</v>
      </c>
      <c r="I3" s="28" t="s">
        <v>38</v>
      </c>
      <c r="J3" s="28" t="s">
        <v>39</v>
      </c>
      <c r="K3" s="29" t="s">
        <v>40</v>
      </c>
    </row>
    <row r="4" spans="1:11" ht="15" thickTop="1" x14ac:dyDescent="0.35">
      <c r="A4" s="24" t="s">
        <v>41</v>
      </c>
      <c r="B4" s="18">
        <v>11.61</v>
      </c>
      <c r="C4" s="18">
        <v>49.4</v>
      </c>
      <c r="D4" s="18">
        <v>7.2</v>
      </c>
      <c r="E4" s="18">
        <v>80</v>
      </c>
      <c r="F4">
        <v>8.18</v>
      </c>
      <c r="G4">
        <v>105</v>
      </c>
      <c r="H4">
        <v>52.5</v>
      </c>
      <c r="I4">
        <v>0.4</v>
      </c>
      <c r="J4">
        <v>1</v>
      </c>
      <c r="K4" s="19">
        <v>1.3</v>
      </c>
    </row>
    <row r="5" spans="1:11" x14ac:dyDescent="0.35">
      <c r="A5" s="25" t="s">
        <v>42</v>
      </c>
      <c r="B5" s="18">
        <v>12.51</v>
      </c>
      <c r="C5" s="18">
        <v>151.15</v>
      </c>
      <c r="D5" s="18">
        <v>7.07</v>
      </c>
      <c r="E5" s="18">
        <v>81.900000000000006</v>
      </c>
      <c r="F5">
        <v>8.2899999999999991</v>
      </c>
      <c r="G5">
        <v>116.5</v>
      </c>
      <c r="H5">
        <v>58</v>
      </c>
      <c r="I5">
        <v>1.1000000000000001</v>
      </c>
      <c r="J5">
        <v>2.5</v>
      </c>
      <c r="K5" s="19">
        <v>3.35</v>
      </c>
    </row>
    <row r="6" spans="1:11" x14ac:dyDescent="0.35">
      <c r="A6" s="25" t="s">
        <v>43</v>
      </c>
      <c r="B6" s="18">
        <v>15.505000000000001</v>
      </c>
      <c r="C6" s="18">
        <v>162.15</v>
      </c>
      <c r="D6" s="18">
        <v>7.0949999999999998</v>
      </c>
      <c r="E6" s="18">
        <v>85.1</v>
      </c>
      <c r="F6">
        <v>7.98</v>
      </c>
      <c r="G6">
        <v>434.5</v>
      </c>
      <c r="H6">
        <v>217.5</v>
      </c>
      <c r="I6">
        <v>2.2000000000000002</v>
      </c>
      <c r="J6">
        <v>5</v>
      </c>
      <c r="K6" s="19">
        <v>6.65</v>
      </c>
    </row>
    <row r="7" spans="1:11" x14ac:dyDescent="0.35">
      <c r="A7" s="25" t="s">
        <v>44</v>
      </c>
      <c r="B7" s="18">
        <v>17.875</v>
      </c>
      <c r="C7" s="18">
        <v>180.65</v>
      </c>
      <c r="D7" s="18">
        <v>7.1349999999999998</v>
      </c>
      <c r="E7" s="18">
        <v>86.55</v>
      </c>
      <c r="F7">
        <v>7.74</v>
      </c>
      <c r="G7">
        <v>459.5</v>
      </c>
      <c r="H7">
        <v>229</v>
      </c>
      <c r="I7">
        <v>0.9</v>
      </c>
      <c r="J7">
        <v>2.0499999999999998</v>
      </c>
      <c r="K7" s="19">
        <v>2.75</v>
      </c>
    </row>
    <row r="8" spans="1:11" x14ac:dyDescent="0.35">
      <c r="A8" s="25" t="s">
        <v>45</v>
      </c>
      <c r="B8" s="18">
        <v>17.600000000000001</v>
      </c>
      <c r="C8" s="18">
        <v>152.55000000000001</v>
      </c>
      <c r="D8" s="18">
        <v>7.08</v>
      </c>
      <c r="E8" s="18">
        <v>82.15</v>
      </c>
      <c r="F8">
        <v>7.335</v>
      </c>
      <c r="G8">
        <v>427.5</v>
      </c>
      <c r="H8">
        <v>214.5</v>
      </c>
      <c r="I8">
        <v>1.6</v>
      </c>
      <c r="J8">
        <v>3.75</v>
      </c>
      <c r="K8" s="19">
        <v>5</v>
      </c>
    </row>
    <row r="9" spans="1:11" x14ac:dyDescent="0.35">
      <c r="A9" s="25" t="s">
        <v>46</v>
      </c>
      <c r="B9" s="18">
        <v>17.065000000000001</v>
      </c>
      <c r="C9" s="18">
        <v>195.5</v>
      </c>
      <c r="D9" s="18">
        <v>7.2750000000000004</v>
      </c>
      <c r="E9" s="18">
        <v>38.1</v>
      </c>
      <c r="F9">
        <v>3.44</v>
      </c>
      <c r="G9">
        <v>366.5</v>
      </c>
      <c r="H9">
        <v>149.5</v>
      </c>
      <c r="I9">
        <v>1.65</v>
      </c>
      <c r="J9">
        <v>3.7</v>
      </c>
      <c r="K9" s="19">
        <v>4.49</v>
      </c>
    </row>
    <row r="10" spans="1:11" x14ac:dyDescent="0.35">
      <c r="A10" s="25" t="s">
        <v>47</v>
      </c>
      <c r="B10" s="18">
        <v>14.35</v>
      </c>
      <c r="C10" s="18">
        <v>53.45</v>
      </c>
      <c r="D10" s="18">
        <v>7.21</v>
      </c>
      <c r="E10" s="18">
        <v>55.3</v>
      </c>
      <c r="F10">
        <v>5.26</v>
      </c>
      <c r="G10">
        <v>616.5</v>
      </c>
      <c r="H10">
        <v>392.5</v>
      </c>
      <c r="I10">
        <v>1.45</v>
      </c>
      <c r="J10">
        <v>3.25</v>
      </c>
      <c r="K10" s="19">
        <v>4.3499999999999996</v>
      </c>
    </row>
    <row r="11" spans="1:11" x14ac:dyDescent="0.35">
      <c r="A11" s="25" t="s">
        <v>48</v>
      </c>
      <c r="B11" s="18">
        <v>14.33</v>
      </c>
      <c r="C11" s="18">
        <v>45.833300000000001</v>
      </c>
      <c r="D11" s="18">
        <v>7.06</v>
      </c>
      <c r="E11" s="18">
        <v>70.2</v>
      </c>
      <c r="F11">
        <v>6.6849999999999996</v>
      </c>
      <c r="G11">
        <v>566.5</v>
      </c>
      <c r="H11">
        <v>319.5</v>
      </c>
      <c r="I11">
        <v>0.45</v>
      </c>
      <c r="J11">
        <v>1</v>
      </c>
      <c r="K11" s="19">
        <v>1.3</v>
      </c>
    </row>
    <row r="12" spans="1:11" x14ac:dyDescent="0.35">
      <c r="A12" s="25" t="s">
        <v>49</v>
      </c>
      <c r="B12" s="18">
        <v>16.954999999999998</v>
      </c>
      <c r="C12" s="18">
        <v>67.3</v>
      </c>
      <c r="D12" s="18">
        <v>7.1050000000000004</v>
      </c>
      <c r="E12" s="18">
        <v>60.1</v>
      </c>
      <c r="F12">
        <v>5.375</v>
      </c>
      <c r="G12">
        <v>361</v>
      </c>
      <c r="H12">
        <v>180.5</v>
      </c>
      <c r="I12">
        <v>1</v>
      </c>
      <c r="J12">
        <v>2.2999999999999998</v>
      </c>
      <c r="K12" s="19">
        <v>3.05</v>
      </c>
    </row>
    <row r="13" spans="1:11" ht="15" thickBot="1" x14ac:dyDescent="0.4">
      <c r="A13" s="26" t="s">
        <v>50</v>
      </c>
      <c r="B13" s="21">
        <v>14.72</v>
      </c>
      <c r="C13" s="22">
        <v>190.95</v>
      </c>
      <c r="D13" s="22">
        <v>7.3150000000000004</v>
      </c>
      <c r="E13" s="22">
        <v>110.15</v>
      </c>
      <c r="F13" s="20">
        <v>10.335000000000001</v>
      </c>
      <c r="G13" s="20">
        <v>334</v>
      </c>
      <c r="H13" s="20">
        <v>167</v>
      </c>
      <c r="I13" s="20">
        <v>0.9</v>
      </c>
      <c r="J13" s="20">
        <v>1.85</v>
      </c>
      <c r="K13" s="27">
        <v>2.5</v>
      </c>
    </row>
    <row r="14" spans="1:11" ht="15" thickTop="1" x14ac:dyDescent="0.35"/>
    <row r="16" spans="1:11" ht="15" thickBot="1" x14ac:dyDescent="0.4">
      <c r="A16" t="s">
        <v>24</v>
      </c>
    </row>
    <row r="17" spans="1:11" ht="15.5" thickTop="1" thickBot="1" x14ac:dyDescent="0.4">
      <c r="A17" s="23"/>
      <c r="B17" s="28" t="s">
        <v>32</v>
      </c>
      <c r="C17" s="28" t="s">
        <v>33</v>
      </c>
      <c r="D17" s="28" t="s">
        <v>12</v>
      </c>
      <c r="E17" s="28" t="s">
        <v>34</v>
      </c>
      <c r="F17" s="28" t="s">
        <v>35</v>
      </c>
      <c r="G17" s="28" t="s">
        <v>36</v>
      </c>
      <c r="H17" s="28" t="s">
        <v>37</v>
      </c>
      <c r="I17" s="28" t="s">
        <v>38</v>
      </c>
      <c r="J17" s="28" t="s">
        <v>39</v>
      </c>
      <c r="K17" s="29" t="s">
        <v>40</v>
      </c>
    </row>
    <row r="18" spans="1:11" ht="15" thickTop="1" x14ac:dyDescent="0.35">
      <c r="A18" s="24" t="s">
        <v>41</v>
      </c>
      <c r="B18" s="18">
        <v>18.850000000000001</v>
      </c>
      <c r="C18" s="18">
        <v>98.65</v>
      </c>
      <c r="D18" s="18">
        <v>8.67</v>
      </c>
      <c r="E18" s="18">
        <v>46.900000000000006</v>
      </c>
      <c r="F18" s="18">
        <v>3.3499999999999996</v>
      </c>
      <c r="G18" s="18">
        <v>142</v>
      </c>
      <c r="H18" s="18">
        <v>100.85</v>
      </c>
      <c r="I18" s="18">
        <v>1.7000000000000002</v>
      </c>
      <c r="J18" s="18">
        <v>3.9</v>
      </c>
      <c r="K18" s="30">
        <v>5.2</v>
      </c>
    </row>
    <row r="19" spans="1:11" x14ac:dyDescent="0.35">
      <c r="A19" s="25" t="s">
        <v>42</v>
      </c>
      <c r="B19" s="18">
        <v>19.600000000000001</v>
      </c>
      <c r="C19" s="18">
        <v>68.75</v>
      </c>
      <c r="D19" s="18">
        <v>8.1750000000000007</v>
      </c>
      <c r="E19" s="18">
        <v>68.75</v>
      </c>
      <c r="F19" s="18">
        <v>66.400000000000006</v>
      </c>
      <c r="G19" s="18">
        <v>202</v>
      </c>
      <c r="H19" s="18">
        <v>143.64999999999998</v>
      </c>
      <c r="I19" s="18">
        <v>0.95</v>
      </c>
      <c r="J19" s="18">
        <v>2.25</v>
      </c>
      <c r="K19" s="30">
        <v>3</v>
      </c>
    </row>
    <row r="20" spans="1:11" x14ac:dyDescent="0.35">
      <c r="A20" s="25" t="s">
        <v>43</v>
      </c>
      <c r="B20" s="18">
        <v>21.85</v>
      </c>
      <c r="C20" s="18">
        <v>49.8</v>
      </c>
      <c r="D20" s="18">
        <v>7.84</v>
      </c>
      <c r="E20" s="18">
        <v>49.8</v>
      </c>
      <c r="F20" s="18">
        <v>97.9</v>
      </c>
      <c r="G20" s="18">
        <v>488.5</v>
      </c>
      <c r="H20" s="18">
        <v>346.5</v>
      </c>
      <c r="I20" s="18">
        <v>2.1</v>
      </c>
      <c r="J20" s="18">
        <v>4.8499999999999996</v>
      </c>
      <c r="K20" s="30">
        <v>6.45</v>
      </c>
    </row>
    <row r="21" spans="1:11" x14ac:dyDescent="0.35">
      <c r="A21" s="25" t="s">
        <v>44</v>
      </c>
      <c r="B21" s="18">
        <v>24</v>
      </c>
      <c r="C21" s="18">
        <v>69.95</v>
      </c>
      <c r="D21" s="18">
        <v>7.1349999999999998</v>
      </c>
      <c r="E21" s="18">
        <v>305</v>
      </c>
      <c r="F21" s="18">
        <v>305</v>
      </c>
      <c r="G21" s="18">
        <v>449</v>
      </c>
      <c r="H21" s="18">
        <v>319</v>
      </c>
      <c r="I21" s="18">
        <v>0.85000000000000009</v>
      </c>
      <c r="J21" s="18">
        <v>1.9</v>
      </c>
      <c r="K21" s="30">
        <v>2.5499999999999998</v>
      </c>
    </row>
    <row r="22" spans="1:11" x14ac:dyDescent="0.35">
      <c r="A22" s="25" t="s">
        <v>45</v>
      </c>
      <c r="B22" s="18">
        <v>20</v>
      </c>
      <c r="C22" s="18">
        <v>124.1</v>
      </c>
      <c r="D22" s="18">
        <v>9.17</v>
      </c>
      <c r="E22" s="18">
        <v>152.55000000000001</v>
      </c>
      <c r="F22" s="18">
        <v>152.94999999999999</v>
      </c>
      <c r="G22" s="18">
        <v>397</v>
      </c>
      <c r="H22" s="18">
        <v>282</v>
      </c>
      <c r="I22" s="18">
        <v>1.65</v>
      </c>
      <c r="J22" s="18">
        <v>3.75</v>
      </c>
      <c r="K22" s="30">
        <v>5.05</v>
      </c>
    </row>
    <row r="23" spans="1:11" x14ac:dyDescent="0.35">
      <c r="A23" s="25" t="s">
        <v>46</v>
      </c>
      <c r="B23" s="18">
        <v>20.3</v>
      </c>
      <c r="C23" s="18">
        <v>40.4</v>
      </c>
      <c r="D23" s="18">
        <v>7.6750000000000007</v>
      </c>
      <c r="E23" s="18">
        <v>62.400000000000006</v>
      </c>
      <c r="F23" s="18">
        <v>62.400000000000006</v>
      </c>
      <c r="G23" s="18">
        <v>309.5</v>
      </c>
      <c r="H23" s="18">
        <v>219.5</v>
      </c>
      <c r="I23" s="18">
        <v>0.64999999999999991</v>
      </c>
      <c r="J23" s="18">
        <v>1.7000000000000002</v>
      </c>
      <c r="K23" s="30">
        <v>2.95</v>
      </c>
    </row>
    <row r="24" spans="1:11" x14ac:dyDescent="0.35">
      <c r="A24" s="25" t="s">
        <v>47</v>
      </c>
      <c r="B24" s="18">
        <v>21.8</v>
      </c>
      <c r="C24" s="18">
        <v>58.95</v>
      </c>
      <c r="D24" s="18">
        <v>8.02</v>
      </c>
      <c r="E24" s="18">
        <v>184.35000000000002</v>
      </c>
      <c r="F24" s="18">
        <v>184.35000000000002</v>
      </c>
      <c r="G24" s="18">
        <v>826.5</v>
      </c>
      <c r="H24" s="18">
        <v>587</v>
      </c>
      <c r="I24" s="18">
        <v>1.55</v>
      </c>
      <c r="J24" s="18">
        <v>3.55</v>
      </c>
      <c r="K24" s="30">
        <v>4.7</v>
      </c>
    </row>
    <row r="25" spans="1:11" x14ac:dyDescent="0.35">
      <c r="A25" s="25" t="s">
        <v>48</v>
      </c>
      <c r="B25" s="18">
        <v>23.5</v>
      </c>
      <c r="C25" s="18">
        <v>26.950000000000003</v>
      </c>
      <c r="D25" s="18">
        <v>7.4499999999999993</v>
      </c>
      <c r="E25" s="18">
        <v>89.4</v>
      </c>
      <c r="F25" s="18">
        <v>89.4</v>
      </c>
      <c r="G25" s="18">
        <v>767.5</v>
      </c>
      <c r="H25" s="18">
        <v>544.5</v>
      </c>
      <c r="I25" s="18">
        <v>1.65</v>
      </c>
      <c r="J25" s="18">
        <v>3.85</v>
      </c>
      <c r="K25" s="30">
        <v>5.0999999999999996</v>
      </c>
    </row>
    <row r="26" spans="1:11" x14ac:dyDescent="0.35">
      <c r="A26" s="25" t="s">
        <v>49</v>
      </c>
      <c r="B26" s="18">
        <v>25.85</v>
      </c>
      <c r="C26" s="18">
        <v>111.15</v>
      </c>
      <c r="D26" s="18">
        <v>8.8099999999999987</v>
      </c>
      <c r="E26" s="18">
        <v>116.15</v>
      </c>
      <c r="F26" s="18">
        <v>116.15</v>
      </c>
      <c r="G26" s="18">
        <v>396.5</v>
      </c>
      <c r="H26" s="18">
        <v>282</v>
      </c>
      <c r="I26" s="18">
        <v>1.95</v>
      </c>
      <c r="J26" s="18">
        <v>4.45</v>
      </c>
      <c r="K26" s="30">
        <v>5.95</v>
      </c>
    </row>
    <row r="27" spans="1:11" ht="15" thickBot="1" x14ac:dyDescent="0.4">
      <c r="A27" s="26" t="s">
        <v>50</v>
      </c>
      <c r="B27" s="21">
        <v>21.7</v>
      </c>
      <c r="C27" s="22">
        <v>73.800000000000011</v>
      </c>
      <c r="D27" s="22">
        <v>8.26</v>
      </c>
      <c r="E27" s="22">
        <v>170.05</v>
      </c>
      <c r="F27" s="22">
        <v>170.05</v>
      </c>
      <c r="G27" s="22">
        <v>354.5</v>
      </c>
      <c r="H27" s="22">
        <v>252</v>
      </c>
      <c r="I27" s="22">
        <v>1.25</v>
      </c>
      <c r="J27" s="22">
        <v>2.9000000000000004</v>
      </c>
      <c r="K27" s="31">
        <v>3.75</v>
      </c>
    </row>
    <row r="28" spans="1:11" ht="15" thickTop="1" x14ac:dyDescent="0.35"/>
    <row r="30" spans="1:11" ht="15" thickBot="1" x14ac:dyDescent="0.4">
      <c r="A30" t="s">
        <v>54</v>
      </c>
    </row>
    <row r="31" spans="1:11" ht="15.5" thickTop="1" thickBot="1" x14ac:dyDescent="0.4">
      <c r="A31" s="23"/>
      <c r="B31" s="28" t="s">
        <v>32</v>
      </c>
      <c r="C31" s="28" t="s">
        <v>33</v>
      </c>
      <c r="D31" s="28" t="s">
        <v>12</v>
      </c>
      <c r="E31" s="28" t="s">
        <v>34</v>
      </c>
      <c r="F31" s="28" t="s">
        <v>35</v>
      </c>
      <c r="G31" s="28" t="s">
        <v>36</v>
      </c>
      <c r="H31" s="28" t="s">
        <v>37</v>
      </c>
      <c r="I31" s="28" t="s">
        <v>38</v>
      </c>
      <c r="J31" s="28" t="s">
        <v>39</v>
      </c>
      <c r="K31" s="29" t="s">
        <v>40</v>
      </c>
    </row>
    <row r="32" spans="1:11" ht="15" thickTop="1" x14ac:dyDescent="0.35">
      <c r="A32" s="24" t="s">
        <v>41</v>
      </c>
      <c r="E32" s="18"/>
      <c r="F32" s="18"/>
      <c r="G32" s="18"/>
      <c r="H32" s="18"/>
      <c r="I32" s="18"/>
      <c r="J32" s="18"/>
      <c r="K32" s="30"/>
    </row>
    <row r="33" spans="1:11" x14ac:dyDescent="0.35">
      <c r="A33" s="25" t="s">
        <v>42</v>
      </c>
      <c r="B33" s="18">
        <f>AVERAGE(7.52,7.19)</f>
        <v>7.3550000000000004</v>
      </c>
      <c r="C33" s="18">
        <f>AVERAGE(11.6,16.1)</f>
        <v>13.850000000000001</v>
      </c>
      <c r="D33" s="18">
        <f>AVERAGE(7.51,7.19)</f>
        <v>7.35</v>
      </c>
      <c r="E33" s="18">
        <f>AVERAGE(73,148.1)</f>
        <v>110.55</v>
      </c>
      <c r="F33" s="18">
        <f>AVERAGE(6.23,12.56)</f>
        <v>9.3949999999999996</v>
      </c>
      <c r="G33" s="18">
        <f>AVERAGE(263,263)</f>
        <v>263</v>
      </c>
      <c r="H33" s="18">
        <f>AVERAGE(186.6,186.7)</f>
        <v>186.64999999999998</v>
      </c>
      <c r="I33" s="18"/>
      <c r="J33" s="18"/>
      <c r="K33" s="30"/>
    </row>
    <row r="34" spans="1:11" x14ac:dyDescent="0.35">
      <c r="A34" s="25" t="s">
        <v>43</v>
      </c>
      <c r="B34" s="18"/>
      <c r="C34" s="18"/>
      <c r="D34" s="18"/>
      <c r="E34" s="18"/>
      <c r="F34" s="18"/>
      <c r="G34" s="18"/>
      <c r="H34" s="18"/>
      <c r="I34" s="18"/>
      <c r="J34" s="18"/>
      <c r="K34" s="30"/>
    </row>
    <row r="35" spans="1:11" x14ac:dyDescent="0.35">
      <c r="A35" s="25" t="s">
        <v>44</v>
      </c>
      <c r="B35" s="18">
        <f>AVERAGE(19.1,19)</f>
        <v>19.05</v>
      </c>
      <c r="C35" s="18">
        <f>AVERAGE(47.3,61.5)</f>
        <v>54.4</v>
      </c>
      <c r="D35" s="18">
        <f>AVERAGE(6.74,6.74)</f>
        <v>6.74</v>
      </c>
      <c r="E35" s="18">
        <f>AVERAGE(175.4,152.1)</f>
        <v>163.75</v>
      </c>
      <c r="F35" s="18"/>
      <c r="G35" s="18" t="e" vm="1">
        <f>_xleta.AVERAGE</f>
        <v>#VALUE!</v>
      </c>
      <c r="H35" s="18"/>
      <c r="I35" s="18"/>
      <c r="J35" s="18"/>
      <c r="K35" s="30"/>
    </row>
    <row r="36" spans="1:11" x14ac:dyDescent="0.35">
      <c r="A36" s="25" t="s">
        <v>45</v>
      </c>
      <c r="B36" s="18">
        <f>AVERAGE(21.5,21.2)</f>
        <v>21.35</v>
      </c>
      <c r="C36" s="18">
        <f>AVERAGE(174.6,158.8)</f>
        <v>166.7</v>
      </c>
      <c r="D36" s="12">
        <f>AVERAGE(4.48,4.65)</f>
        <v>4.5650000000000004</v>
      </c>
      <c r="E36" s="18">
        <f>AVERAGE(372.5,369.5)</f>
        <v>371</v>
      </c>
      <c r="F36" s="18">
        <f>AVERAGE(30.8,29.94)</f>
        <v>30.37</v>
      </c>
      <c r="G36" s="18">
        <f>AVERAGE(691,688)</f>
        <v>689.5</v>
      </c>
      <c r="H36" s="18">
        <f>AVERAGE(490,488)</f>
        <v>489</v>
      </c>
      <c r="I36" s="18"/>
      <c r="J36" s="18"/>
      <c r="K36" s="30"/>
    </row>
    <row r="37" spans="1:11" x14ac:dyDescent="0.35">
      <c r="A37" s="25" t="s">
        <v>46</v>
      </c>
      <c r="B37" s="18">
        <f>AVERAGE(21,21)</f>
        <v>21</v>
      </c>
      <c r="C37" s="18">
        <f>AVERAGE(50.7,67.4)</f>
        <v>59.050000000000004</v>
      </c>
      <c r="D37" s="18">
        <f>AVERAGE(6.56,6.32)</f>
        <v>6.4399999999999995</v>
      </c>
      <c r="E37" s="18">
        <f>AVERAGE(247.1,198.1)</f>
        <v>222.6</v>
      </c>
      <c r="F37" s="18">
        <f>AVERAGE(21.72,16.3)</f>
        <v>19.009999999999998</v>
      </c>
      <c r="G37" s="18">
        <f>AVERAGE(288,315)</f>
        <v>301.5</v>
      </c>
      <c r="H37" s="18">
        <f>AVERAGE(288,315)</f>
        <v>301.5</v>
      </c>
      <c r="I37" s="18"/>
      <c r="J37" s="18"/>
      <c r="K37" s="30"/>
    </row>
    <row r="38" spans="1:11" x14ac:dyDescent="0.35">
      <c r="A38" s="25" t="s">
        <v>47</v>
      </c>
      <c r="B38" s="18">
        <f>AVERAGE(20.3,20.8)</f>
        <v>20.55</v>
      </c>
      <c r="C38" s="18">
        <f>AVERAGE(75.8,52.6)</f>
        <v>64.2</v>
      </c>
      <c r="D38" s="18">
        <f>AVERAGE(6.22,6.51)</f>
        <v>6.3650000000000002</v>
      </c>
      <c r="E38" s="18">
        <f>AVERAGE(97,170.2)</f>
        <v>133.6</v>
      </c>
      <c r="F38" s="18">
        <f>AVERAGE(7.93,13.64)</f>
        <v>10.785</v>
      </c>
      <c r="G38" s="18">
        <f>AVERAGE(963,905)</f>
        <v>934</v>
      </c>
      <c r="H38" s="18">
        <f>AVERAGE(683,643)</f>
        <v>663</v>
      </c>
      <c r="I38" s="18"/>
      <c r="J38" s="18"/>
      <c r="K38" s="30"/>
    </row>
    <row r="39" spans="1:11" x14ac:dyDescent="0.35">
      <c r="A39" s="25" t="s">
        <v>48</v>
      </c>
      <c r="B39" s="18">
        <f>AVERAGE(20.5,20.7)</f>
        <v>20.6</v>
      </c>
      <c r="C39" s="18">
        <f>AVERAGE(13,15)</f>
        <v>14</v>
      </c>
      <c r="D39" s="18">
        <f>AVERAGE(7.34,7.16)</f>
        <v>7.25</v>
      </c>
      <c r="E39" s="18">
        <f>AVERAGE(128.8,153.7)</f>
        <v>141.25</v>
      </c>
      <c r="F39" s="18">
        <f>AVERAGE(10.66,12.93)</f>
        <v>11.795</v>
      </c>
      <c r="G39" s="18">
        <f>AVERAGE(881,909)</f>
        <v>895</v>
      </c>
      <c r="H39" s="18">
        <f>AVERAGE(625,645)</f>
        <v>635</v>
      </c>
      <c r="I39" s="18"/>
      <c r="J39" s="18"/>
      <c r="K39" s="30"/>
    </row>
    <row r="40" spans="1:11" x14ac:dyDescent="0.35">
      <c r="A40" s="25" t="s">
        <v>49</v>
      </c>
      <c r="B40" s="18">
        <f>AVERAGE(21,60,21.6)</f>
        <v>34.199999999999996</v>
      </c>
      <c r="C40" s="18">
        <f>AVERAGE(144.8,180.3)</f>
        <v>162.55000000000001</v>
      </c>
      <c r="D40" s="18">
        <f>AVERAGE(5.08,4.37)</f>
        <v>4.7249999999999996</v>
      </c>
      <c r="E40" s="18"/>
      <c r="F40" s="18"/>
      <c r="G40" s="18">
        <f>AVERAGE(5.44,5.6)</f>
        <v>5.52</v>
      </c>
      <c r="H40" s="18">
        <f>AVERAGE(387,398)</f>
        <v>392.5</v>
      </c>
      <c r="I40" s="18"/>
      <c r="J40" s="18"/>
      <c r="K40" s="30"/>
    </row>
    <row r="41" spans="1:11" ht="15" thickBot="1" x14ac:dyDescent="0.4">
      <c r="A41" s="26" t="s">
        <v>50</v>
      </c>
      <c r="B41" s="21">
        <f>AVERAGE(19.6,19.6)</f>
        <v>19.600000000000001</v>
      </c>
      <c r="C41" s="22">
        <f>AVERAGE(32.9,15.6)</f>
        <v>24.25</v>
      </c>
      <c r="D41" s="22">
        <f>AVERAGE(8.02,7.88)</f>
        <v>7.9499999999999993</v>
      </c>
      <c r="E41" s="22">
        <f>AVERAGE(214.1,216.7)</f>
        <v>215.39999999999998</v>
      </c>
      <c r="F41" s="22">
        <f>AVERAGEA(18.5,18.58)</f>
        <v>18.54</v>
      </c>
      <c r="G41" s="22">
        <f>AVERAGE(461,470)</f>
        <v>465.5</v>
      </c>
      <c r="H41" s="22">
        <f>AVERAGE(327,332)</f>
        <v>329.5</v>
      </c>
      <c r="I41" s="22"/>
      <c r="J41" s="22"/>
      <c r="K41" s="31"/>
    </row>
    <row r="42" spans="1:11" ht="15" thickTop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Physiochemical parameters</vt:lpstr>
      <vt:lpstr>Appendix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Venerate Tsuxeko Mdaka</dc:creator>
  <cp:lastModifiedBy>Venerate Tsuxeko Mdaka</cp:lastModifiedBy>
  <dcterms:created xsi:type="dcterms:W3CDTF">2025-09-16T07:26:03Z</dcterms:created>
  <dcterms:modified xsi:type="dcterms:W3CDTF">2025-11-17T16:55:00Z</dcterms:modified>
</cp:coreProperties>
</file>