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mpumalanga-my.sharepoint.com/personal/220432627_ump_ac_za/Documents/UMP 2025/My Research/Dr Pule plugs/"/>
    </mc:Choice>
  </mc:AlternateContent>
  <xr:revisionPtr revIDLastSave="38" documentId="13_ncr:1_{6681BE0B-2088-4431-8B66-A1D5C7C0088D}" xr6:coauthVersionLast="47" xr6:coauthVersionMax="47" xr10:uidLastSave="{8027F491-C67B-4535-A8A4-56FD7D94E79D}"/>
  <bookViews>
    <workbookView xWindow="-110" yWindow="-110" windowWidth="19420" windowHeight="11500" firstSheet="6" activeTab="7" xr2:uid="{880BFD9B-AE1A-4763-861E-325A33DF95C1}"/>
  </bookViews>
  <sheets>
    <sheet name="Sheet1" sheetId="1" r:id="rId1"/>
    <sheet name="Div.seasons (All sites)" sheetId="2" r:id="rId2"/>
    <sheet name="Div.substrates (All sites)" sheetId="3" r:id="rId3"/>
    <sheet name="Plastic vs natural" sheetId="6" r:id="rId4"/>
    <sheet name="Plastic vs natural results" sheetId="7" r:id="rId5"/>
    <sheet name="S1 vs S2" sheetId="4" r:id="rId6"/>
    <sheet name="S1 VS S2 Results" sheetId="5" r:id="rId7"/>
    <sheet name="SIMPER results" sheetId="8" r:id="rId8"/>
    <sheet name="PERMANOVA results macoinverts" sheetId="9" r:id="rId9"/>
    <sheet name="Sheet8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6" l="1"/>
  <c r="D31" i="6"/>
  <c r="E31" i="6"/>
  <c r="F31" i="6"/>
  <c r="G31" i="6"/>
  <c r="H31" i="6"/>
  <c r="I31" i="6"/>
  <c r="J31" i="6"/>
  <c r="K31" i="6"/>
  <c r="B31" i="6"/>
  <c r="C30" i="6"/>
  <c r="D30" i="6"/>
  <c r="E30" i="6"/>
  <c r="F30" i="6"/>
  <c r="G30" i="6"/>
  <c r="H30" i="6"/>
  <c r="I30" i="6"/>
  <c r="J30" i="6"/>
  <c r="K30" i="6"/>
  <c r="B30" i="6"/>
  <c r="C28" i="6"/>
  <c r="D28" i="6"/>
  <c r="E28" i="6"/>
  <c r="F28" i="6"/>
  <c r="G28" i="6"/>
  <c r="H28" i="6"/>
  <c r="I28" i="6"/>
  <c r="J28" i="6"/>
  <c r="K28" i="6"/>
  <c r="B28" i="6"/>
  <c r="C27" i="6"/>
  <c r="D27" i="6"/>
  <c r="E27" i="6"/>
  <c r="F27" i="6"/>
  <c r="G27" i="6"/>
  <c r="H27" i="6"/>
  <c r="I27" i="6"/>
  <c r="J27" i="6"/>
  <c r="K27" i="6"/>
  <c r="B27" i="6"/>
  <c r="C26" i="6"/>
  <c r="D26" i="6"/>
  <c r="E26" i="6"/>
  <c r="F26" i="6"/>
  <c r="G26" i="6"/>
  <c r="H26" i="6"/>
  <c r="I26" i="6"/>
  <c r="J26" i="6"/>
  <c r="K26" i="6"/>
  <c r="B26" i="6"/>
  <c r="H24" i="4"/>
  <c r="C28" i="4"/>
  <c r="D28" i="4"/>
  <c r="E28" i="4"/>
  <c r="F28" i="4"/>
  <c r="G28" i="4"/>
  <c r="H28" i="4"/>
  <c r="I28" i="4"/>
  <c r="J28" i="4"/>
  <c r="K28" i="4"/>
  <c r="L28" i="4"/>
  <c r="M28" i="4"/>
  <c r="B28" i="4"/>
  <c r="C27" i="4"/>
  <c r="D27" i="4"/>
  <c r="E27" i="4"/>
  <c r="F27" i="4"/>
  <c r="G27" i="4"/>
  <c r="H27" i="4"/>
  <c r="I27" i="4"/>
  <c r="J27" i="4"/>
  <c r="K27" i="4"/>
  <c r="L27" i="4"/>
  <c r="M27" i="4"/>
  <c r="B27" i="4"/>
  <c r="C25" i="4"/>
  <c r="D25" i="4"/>
  <c r="E25" i="4"/>
  <c r="F25" i="4"/>
  <c r="G25" i="4"/>
  <c r="H25" i="4"/>
  <c r="I25" i="4"/>
  <c r="J25" i="4"/>
  <c r="K25" i="4"/>
  <c r="L25" i="4"/>
  <c r="M25" i="4"/>
  <c r="B25" i="4"/>
  <c r="C24" i="4"/>
  <c r="D24" i="4"/>
  <c r="E24" i="4"/>
  <c r="F24" i="4"/>
  <c r="G24" i="4"/>
  <c r="I24" i="4"/>
  <c r="J24" i="4"/>
  <c r="K24" i="4"/>
  <c r="L24" i="4"/>
  <c r="M24" i="4"/>
  <c r="B24" i="4"/>
  <c r="C23" i="4"/>
  <c r="D23" i="4"/>
  <c r="E23" i="4"/>
  <c r="F23" i="4"/>
  <c r="G23" i="4"/>
  <c r="H23" i="4"/>
  <c r="I23" i="4"/>
  <c r="J23" i="4"/>
  <c r="K23" i="4"/>
  <c r="L23" i="4"/>
  <c r="M23" i="4"/>
  <c r="B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tc={CF9968F3-521D-468E-9773-8AE841F17089}</author>
    <author>tc={A7357FD7-C6E6-4194-A7D1-DCD1D7F5D2B3}</author>
  </authors>
  <commentList>
    <comment ref="A2" authorId="0" shapeId="0" xr:uid="{CF9968F3-521D-468E-9773-8AE841F17089}">
      <text>
        <t>[Threaded comment]
Your version of Excel allows you to read this threaded comment; however, any edits to it will get removed if the file is opened in a newer version of Excel. Learn more: https://go.microsoft.com/fwlink/?linkid=870924
Comment:
    Focus on only these 5 taxa</t>
      </text>
    </comment>
    <comment ref="D6" authorId="1" shapeId="0" xr:uid="{A7357FD7-C6E6-4194-A7D1-DCD1D7F5D2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Their combined contribution is almost 50%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tc={2AE56C4A-C77D-42D2-8043-D2D03AE3A897}</author>
    <author>tc={40813977-E2B5-438C-A1F8-39A0BB1EFC39}</author>
  </authors>
  <commentList>
    <comment ref="A1" authorId="0" shapeId="0" xr:uid="{2AE56C4A-C77D-42D2-8043-D2D03AE3A8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PERMANOVA results for macroinvertebrates (look for examples on how they are written)</t>
      </text>
    </comment>
    <comment ref="A13" authorId="1" shapeId="0" xr:uid="{40813977-E2B5-438C-A1F8-39A0BB1EFC3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these results. Learn how to interpret them</t>
      </text>
    </comment>
  </commentList>
</comments>
</file>

<file path=xl/sharedStrings.xml><?xml version="1.0" encoding="utf-8"?>
<sst xmlns="http://schemas.openxmlformats.org/spreadsheetml/2006/main" count="2667" uniqueCount="1108">
  <si>
    <t>S1S1P</t>
  </si>
  <si>
    <t>S1S1N</t>
  </si>
  <si>
    <t>S1S2P</t>
  </si>
  <si>
    <t>S1S2N</t>
  </si>
  <si>
    <t>S2S1P</t>
  </si>
  <si>
    <t>S2S1N</t>
  </si>
  <si>
    <t>S2S2P</t>
  </si>
  <si>
    <t>S3S1P</t>
  </si>
  <si>
    <t>S3S1N</t>
  </si>
  <si>
    <t>S3S2P</t>
  </si>
  <si>
    <t>S3S2N</t>
  </si>
  <si>
    <t>S4S1P</t>
  </si>
  <si>
    <t>S4S1N</t>
  </si>
  <si>
    <t>S4S2P</t>
  </si>
  <si>
    <t>S4S2N</t>
  </si>
  <si>
    <t>S5S1P</t>
  </si>
  <si>
    <t>S5S1N</t>
  </si>
  <si>
    <t>S5S2P</t>
  </si>
  <si>
    <t>S6S1P</t>
  </si>
  <si>
    <t>S6S1N</t>
  </si>
  <si>
    <t>S6S2P</t>
  </si>
  <si>
    <t>S6S2N</t>
  </si>
  <si>
    <t>S7S1P</t>
  </si>
  <si>
    <t>S7S1N</t>
  </si>
  <si>
    <t>S7S2P</t>
  </si>
  <si>
    <t>S8S1P</t>
  </si>
  <si>
    <t>S8S1N</t>
  </si>
  <si>
    <t>S8S2P</t>
  </si>
  <si>
    <t>S8S2N</t>
  </si>
  <si>
    <t>S9S1P</t>
  </si>
  <si>
    <t>S9S1N</t>
  </si>
  <si>
    <t>S9S2P</t>
  </si>
  <si>
    <t>S9S2N</t>
  </si>
  <si>
    <t>S10S1P</t>
  </si>
  <si>
    <t>S10S1N</t>
  </si>
  <si>
    <t>S10S2P</t>
  </si>
  <si>
    <t>S10S2N</t>
  </si>
  <si>
    <t>Taxa_S</t>
  </si>
  <si>
    <t>Individuals</t>
  </si>
  <si>
    <t>Dominance_D</t>
  </si>
  <si>
    <t>0.4247</t>
  </si>
  <si>
    <t>0.2611</t>
  </si>
  <si>
    <t>0.4806</t>
  </si>
  <si>
    <t>0.4628</t>
  </si>
  <si>
    <t>0.256</t>
  </si>
  <si>
    <t>0.128</t>
  </si>
  <si>
    <t>0.2245</t>
  </si>
  <si>
    <t>0.2941</t>
  </si>
  <si>
    <t>0.3333</t>
  </si>
  <si>
    <t>0.2866</t>
  </si>
  <si>
    <t>0.7626</t>
  </si>
  <si>
    <t>0.6643</t>
  </si>
  <si>
    <t>0.3472</t>
  </si>
  <si>
    <t>0.5</t>
  </si>
  <si>
    <t>0.1391</t>
  </si>
  <si>
    <t>0.6705</t>
  </si>
  <si>
    <t>0.6054</t>
  </si>
  <si>
    <t>0.2433</t>
  </si>
  <si>
    <t>0.4</t>
  </si>
  <si>
    <t>0.5377</t>
  </si>
  <si>
    <t>0.4552</t>
  </si>
  <si>
    <t>0.6005</t>
  </si>
  <si>
    <t>0.5659</t>
  </si>
  <si>
    <t>0.4301</t>
  </si>
  <si>
    <t>0.7788</t>
  </si>
  <si>
    <t>0.2572</t>
  </si>
  <si>
    <t>0.5426</t>
  </si>
  <si>
    <t>0.1538</t>
  </si>
  <si>
    <t>0.2068</t>
  </si>
  <si>
    <t>0.2778</t>
  </si>
  <si>
    <t>0.418</t>
  </si>
  <si>
    <t>0.1299</t>
  </si>
  <si>
    <t>0.2581</t>
  </si>
  <si>
    <t>0.375</t>
  </si>
  <si>
    <t>Simpson_1-D</t>
  </si>
  <si>
    <t>0.5753</t>
  </si>
  <si>
    <t>0.7389</t>
  </si>
  <si>
    <t>0.5194</t>
  </si>
  <si>
    <t>0.5372</t>
  </si>
  <si>
    <t>0.744</t>
  </si>
  <si>
    <t>0.872</t>
  </si>
  <si>
    <t>0.7755</t>
  </si>
  <si>
    <t>0.7059</t>
  </si>
  <si>
    <t>0.6667</t>
  </si>
  <si>
    <t>0.7134</t>
  </si>
  <si>
    <t>0.2374</t>
  </si>
  <si>
    <t>0.3357</t>
  </si>
  <si>
    <t>0.6528</t>
  </si>
  <si>
    <t>0.8609</t>
  </si>
  <si>
    <t>0.3295</t>
  </si>
  <si>
    <t>0.3946</t>
  </si>
  <si>
    <t>0.7567</t>
  </si>
  <si>
    <t>0.6</t>
  </si>
  <si>
    <t>0.4623</t>
  </si>
  <si>
    <t>0.5448</t>
  </si>
  <si>
    <t>0.3995</t>
  </si>
  <si>
    <t>0.4341</t>
  </si>
  <si>
    <t>0.5699</t>
  </si>
  <si>
    <t>0.2212</t>
  </si>
  <si>
    <t>0.7428</t>
  </si>
  <si>
    <t>0.4574</t>
  </si>
  <si>
    <t>0.8463</t>
  </si>
  <si>
    <t>0.7932</t>
  </si>
  <si>
    <t>0.7222</t>
  </si>
  <si>
    <t>0.582</t>
  </si>
  <si>
    <t>0.8701</t>
  </si>
  <si>
    <t>0.7419</t>
  </si>
  <si>
    <t>0.625</t>
  </si>
  <si>
    <t>Shannon_H</t>
  </si>
  <si>
    <t>1.484</t>
  </si>
  <si>
    <t>2.104</t>
  </si>
  <si>
    <t>1.383</t>
  </si>
  <si>
    <t>1.046</t>
  </si>
  <si>
    <t>1.807</t>
  </si>
  <si>
    <t>2.428</t>
  </si>
  <si>
    <t>1.55</t>
  </si>
  <si>
    <t>1.638</t>
  </si>
  <si>
    <t>1.099</t>
  </si>
  <si>
    <t>1.242</t>
  </si>
  <si>
    <t>1.496</t>
  </si>
  <si>
    <t>0.5839</t>
  </si>
  <si>
    <t>0.7479</t>
  </si>
  <si>
    <t>1.199</t>
  </si>
  <si>
    <t>0.6931</t>
  </si>
  <si>
    <t>2.22</t>
  </si>
  <si>
    <t>0.8931</t>
  </si>
  <si>
    <t>0.7751</t>
  </si>
  <si>
    <t>1.686</t>
  </si>
  <si>
    <t>1.228</t>
  </si>
  <si>
    <t>0.8296</t>
  </si>
  <si>
    <t>1.238</t>
  </si>
  <si>
    <t>0.8955</t>
  </si>
  <si>
    <t>1.432</t>
  </si>
  <si>
    <t>0.5556</t>
  </si>
  <si>
    <t>1.622</t>
  </si>
  <si>
    <t>1.093</t>
  </si>
  <si>
    <t>2.261</t>
  </si>
  <si>
    <t>2.081</t>
  </si>
  <si>
    <t>1.856</t>
  </si>
  <si>
    <t>1.119</t>
  </si>
  <si>
    <t>2.519</t>
  </si>
  <si>
    <t>1.04</t>
  </si>
  <si>
    <t>0.8305</t>
  </si>
  <si>
    <t>Evenness_e^H/S</t>
  </si>
  <si>
    <t>0.3392</t>
  </si>
  <si>
    <t>0.4099</t>
  </si>
  <si>
    <t>0.2657</t>
  </si>
  <si>
    <t>0.5692</t>
  </si>
  <si>
    <t>0.4686</t>
  </si>
  <si>
    <t>0.5969</t>
  </si>
  <si>
    <t>0.9421</t>
  </si>
  <si>
    <t>0.5719</t>
  </si>
  <si>
    <t>0.866</t>
  </si>
  <si>
    <t>0.6375</t>
  </si>
  <si>
    <t>0.1121</t>
  </si>
  <si>
    <t>0.1761</t>
  </si>
  <si>
    <t>0.8291</t>
  </si>
  <si>
    <t>0.7673</t>
  </si>
  <si>
    <t>0.1437</t>
  </si>
  <si>
    <t>0.5427</t>
  </si>
  <si>
    <t>0.4907</t>
  </si>
  <si>
    <t>0.6826</t>
  </si>
  <si>
    <t>0.4585</t>
  </si>
  <si>
    <t>0.3134</t>
  </si>
  <si>
    <t>0.2033</t>
  </si>
  <si>
    <t>0.4897</t>
  </si>
  <si>
    <t>0.2325</t>
  </si>
  <si>
    <t>0.1025</t>
  </si>
  <si>
    <t>0.5627</t>
  </si>
  <si>
    <t>0.3316</t>
  </si>
  <si>
    <t>0.4795</t>
  </si>
  <si>
    <t>0.4451</t>
  </si>
  <si>
    <t>0.4922</t>
  </si>
  <si>
    <t>0.6121</t>
  </si>
  <si>
    <t>0.5397</t>
  </si>
  <si>
    <t>0.3584</t>
  </si>
  <si>
    <t>0.9428</t>
  </si>
  <si>
    <t>0.7648</t>
  </si>
  <si>
    <t>Brillouin</t>
  </si>
  <si>
    <t>1.281</t>
  </si>
  <si>
    <t>1.743</t>
  </si>
  <si>
    <t>1.193</t>
  </si>
  <si>
    <t>0.8406</t>
  </si>
  <si>
    <t>1.525</t>
  </si>
  <si>
    <t>2.083</t>
  </si>
  <si>
    <t>1.02</t>
  </si>
  <si>
    <t>1.353</t>
  </si>
  <si>
    <t>0.5973</t>
  </si>
  <si>
    <t>0.7979</t>
  </si>
  <si>
    <t>1.241</t>
  </si>
  <si>
    <t>0.5615</t>
  </si>
  <si>
    <t>0.7083</t>
  </si>
  <si>
    <t>0.9103</t>
  </si>
  <si>
    <t>0.3466</t>
  </si>
  <si>
    <t>1.777</t>
  </si>
  <si>
    <t>0.823</t>
  </si>
  <si>
    <t>0.6151</t>
  </si>
  <si>
    <t>1.498</t>
  </si>
  <si>
    <t>0.8525</t>
  </si>
  <si>
    <t>0.7632</t>
  </si>
  <si>
    <t>1.159</t>
  </si>
  <si>
    <t>0.955</t>
  </si>
  <si>
    <t>0.8179</t>
  </si>
  <si>
    <t>1.334</t>
  </si>
  <si>
    <t>0.5308</t>
  </si>
  <si>
    <t>1.439</t>
  </si>
  <si>
    <t>0.9567</t>
  </si>
  <si>
    <t>2.04</t>
  </si>
  <si>
    <t>1.881</t>
  </si>
  <si>
    <t>1.553</t>
  </si>
  <si>
    <t>0.9536</t>
  </si>
  <si>
    <t>2.202</t>
  </si>
  <si>
    <t>1.661</t>
  </si>
  <si>
    <t>0.6212</t>
  </si>
  <si>
    <t>0.658</t>
  </si>
  <si>
    <t>Menhinick</t>
  </si>
  <si>
    <t>1.501</t>
  </si>
  <si>
    <t>2.604</t>
  </si>
  <si>
    <t>1.59</t>
  </si>
  <si>
    <t>1.066</t>
  </si>
  <si>
    <t>1.838</t>
  </si>
  <si>
    <t>2.357</t>
  </si>
  <si>
    <t>1.89</t>
  </si>
  <si>
    <t>1.543</t>
  </si>
  <si>
    <t>1.732</t>
  </si>
  <si>
    <t>1.633</t>
  </si>
  <si>
    <t>1.3</t>
  </si>
  <si>
    <t>0.507</t>
  </si>
  <si>
    <t>0.6124</t>
  </si>
  <si>
    <t>1.155</t>
  </si>
  <si>
    <t>1.414</t>
  </si>
  <si>
    <t>2.228</t>
  </si>
  <si>
    <t>0.9671</t>
  </si>
  <si>
    <t>0.8729</t>
  </si>
  <si>
    <t>1.315</t>
  </si>
  <si>
    <t>1.581</t>
  </si>
  <si>
    <t>0.53</t>
  </si>
  <si>
    <t>0.4472</t>
  </si>
  <si>
    <t>0.7817</t>
  </si>
  <si>
    <t>0.9899</t>
  </si>
  <si>
    <t>0.5361</t>
  </si>
  <si>
    <t>1.129</t>
  </si>
  <si>
    <t>0.5587</t>
  </si>
  <si>
    <t>1.162</t>
  </si>
  <si>
    <t>1.026</t>
  </si>
  <si>
    <t>1.826</t>
  </si>
  <si>
    <t>1.63</t>
  </si>
  <si>
    <t>1.876</t>
  </si>
  <si>
    <t>0.8839</t>
  </si>
  <si>
    <t>2.424</t>
  </si>
  <si>
    <t>1.374</t>
  </si>
  <si>
    <t>1.5</t>
  </si>
  <si>
    <t>0.8018</t>
  </si>
  <si>
    <t>Margalef</t>
  </si>
  <si>
    <t>2.779</t>
  </si>
  <si>
    <t>4.66</t>
  </si>
  <si>
    <t>3.119</t>
  </si>
  <si>
    <t>1.294</t>
  </si>
  <si>
    <t>3.067</t>
  </si>
  <si>
    <t>4.312</t>
  </si>
  <si>
    <t>2.056</t>
  </si>
  <si>
    <t>2.269</t>
  </si>
  <si>
    <t>1.82</t>
  </si>
  <si>
    <t>1.674</t>
  </si>
  <si>
    <t>1.782</t>
  </si>
  <si>
    <t>2.173</t>
  </si>
  <si>
    <t>1.849</t>
  </si>
  <si>
    <t>1.207</t>
  </si>
  <si>
    <t>1.443</t>
  </si>
  <si>
    <t>3.267</t>
  </si>
  <si>
    <t>2.791</t>
  </si>
  <si>
    <t>0.9854</t>
  </si>
  <si>
    <t>2.354</t>
  </si>
  <si>
    <t>1.737</t>
  </si>
  <si>
    <t>0.8911</t>
  </si>
  <si>
    <t>1.891</t>
  </si>
  <si>
    <t>2.454</t>
  </si>
  <si>
    <t>0.8957</t>
  </si>
  <si>
    <t>3.07</t>
  </si>
  <si>
    <t>2.342</t>
  </si>
  <si>
    <t>1.954</t>
  </si>
  <si>
    <t>1.842</t>
  </si>
  <si>
    <t>3.969</t>
  </si>
  <si>
    <t>3.539</t>
  </si>
  <si>
    <t>3.1</t>
  </si>
  <si>
    <t>1.154</t>
  </si>
  <si>
    <t>4.889</t>
  </si>
  <si>
    <t>3.181</t>
  </si>
  <si>
    <t>0.7578</t>
  </si>
  <si>
    <t>Equitability_J</t>
  </si>
  <si>
    <t>0.5785</t>
  </si>
  <si>
    <t>0.7023</t>
  </si>
  <si>
    <t>0.5106</t>
  </si>
  <si>
    <t>0.6498</t>
  </si>
  <si>
    <t>0.7044</t>
  </si>
  <si>
    <t>0.8248</t>
  </si>
  <si>
    <t>0.963</t>
  </si>
  <si>
    <t>0.7457</t>
  </si>
  <si>
    <t>0.8962</t>
  </si>
  <si>
    <t>0.7686</t>
  </si>
  <si>
    <t>0.2106</t>
  </si>
  <si>
    <t>0.301</t>
  </si>
  <si>
    <t>0.8648</t>
  </si>
  <si>
    <t>0.8934</t>
  </si>
  <si>
    <t>0.3152</t>
  </si>
  <si>
    <t>0.5591</t>
  </si>
  <si>
    <t>0.7031</t>
  </si>
  <si>
    <t>0.7627</t>
  </si>
  <si>
    <t>0.5155</t>
  </si>
  <si>
    <t>0.5162</t>
  </si>
  <si>
    <t>0.3963</t>
  </si>
  <si>
    <t>0.5564</t>
  </si>
  <si>
    <t>0.4953</t>
  </si>
  <si>
    <t>0.1961</t>
  </si>
  <si>
    <t>0.7383</t>
  </si>
  <si>
    <t>0.4976</t>
  </si>
  <si>
    <t>0.7547</t>
  </si>
  <si>
    <t>0.72</t>
  </si>
  <si>
    <t>0.7236</t>
  </si>
  <si>
    <t>0.695</t>
  </si>
  <si>
    <t>0.8033</t>
  </si>
  <si>
    <t>0.6378</t>
  </si>
  <si>
    <t>0.9464</t>
  </si>
  <si>
    <t>0.7559</t>
  </si>
  <si>
    <t>Fisher_alpha</t>
  </si>
  <si>
    <t>4.54</t>
  </si>
  <si>
    <t>10.65</t>
  </si>
  <si>
    <t>5.168</t>
  </si>
  <si>
    <t>2.019</t>
  </si>
  <si>
    <t>5.705</t>
  </si>
  <si>
    <t>9.031</t>
  </si>
  <si>
    <t>7.824</t>
  </si>
  <si>
    <t>3.996</t>
  </si>
  <si>
    <t>5.245</t>
  </si>
  <si>
    <t>2.931</t>
  </si>
  <si>
    <t>2.707</t>
  </si>
  <si>
    <t>2.352</t>
  </si>
  <si>
    <t>2.101</t>
  </si>
  <si>
    <t>7.669</t>
  </si>
  <si>
    <t>3.87</t>
  </si>
  <si>
    <t>1.465</t>
  </si>
  <si>
    <t>3.666</t>
  </si>
  <si>
    <t>3.98</t>
  </si>
  <si>
    <t>1.145</t>
  </si>
  <si>
    <t>0.3759</t>
  </si>
  <si>
    <t>2.511</t>
  </si>
  <si>
    <t>3.429</t>
  </si>
  <si>
    <t>1.153</t>
  </si>
  <si>
    <t>4.426</t>
  </si>
  <si>
    <t>2.956</t>
  </si>
  <si>
    <t>2.936</t>
  </si>
  <si>
    <t>2.643</t>
  </si>
  <si>
    <t>6.853</t>
  </si>
  <si>
    <t>5.829</t>
  </si>
  <si>
    <t>5.861</t>
  </si>
  <si>
    <t>1.662</t>
  </si>
  <si>
    <t>9.982</t>
  </si>
  <si>
    <t>4.893</t>
  </si>
  <si>
    <t>5.453</t>
  </si>
  <si>
    <t>1.171</t>
  </si>
  <si>
    <t>Berger-Parker</t>
  </si>
  <si>
    <t>0.64</t>
  </si>
  <si>
    <t>0.4915</t>
  </si>
  <si>
    <t>0.6854</t>
  </si>
  <si>
    <t>0.6364</t>
  </si>
  <si>
    <t>0.42</t>
  </si>
  <si>
    <t>0.2615</t>
  </si>
  <si>
    <t>0.2857</t>
  </si>
  <si>
    <t>0.4138</t>
  </si>
  <si>
    <t>0.8695</t>
  </si>
  <si>
    <t>0.8047</t>
  </si>
  <si>
    <t>0.2759</t>
  </si>
  <si>
    <t>0.8155</t>
  </si>
  <si>
    <t>0.7619</t>
  </si>
  <si>
    <t>0.3286</t>
  </si>
  <si>
    <t>0.6515</t>
  </si>
  <si>
    <t>0.77</t>
  </si>
  <si>
    <t>0.7356</t>
  </si>
  <si>
    <t>0.879</t>
  </si>
  <si>
    <t>0.4167</t>
  </si>
  <si>
    <t>0.7273</t>
  </si>
  <si>
    <t>0.2333</t>
  </si>
  <si>
    <t>0.377</t>
  </si>
  <si>
    <t>0.5938</t>
  </si>
  <si>
    <t>0.2444</t>
  </si>
  <si>
    <t>0.4444</t>
  </si>
  <si>
    <t>0.6429</t>
  </si>
  <si>
    <t>Chao-1</t>
  </si>
  <si>
    <t>16.33</t>
  </si>
  <si>
    <t>39.5</t>
  </si>
  <si>
    <t>24.33</t>
  </si>
  <si>
    <t>8.5</t>
  </si>
  <si>
    <t>17.67</t>
  </si>
  <si>
    <t>26.33</t>
  </si>
  <si>
    <t>18.5</t>
  </si>
  <si>
    <t>17.33</t>
  </si>
  <si>
    <t>19.43</t>
  </si>
  <si>
    <t>20.75</t>
  </si>
  <si>
    <t>21.88</t>
  </si>
  <si>
    <t>28.14</t>
  </si>
  <si>
    <t>21.2</t>
  </si>
  <si>
    <t>3.5</t>
  </si>
  <si>
    <t>Season</t>
  </si>
  <si>
    <t>Substrate</t>
  </si>
  <si>
    <t>P</t>
  </si>
  <si>
    <t>N</t>
  </si>
  <si>
    <t>Taxa_S_Season 2</t>
  </si>
  <si>
    <t>Individuals_Season 2</t>
  </si>
  <si>
    <t>Simpson_1-D_Season 2</t>
  </si>
  <si>
    <t>Shannon_H_Season 2</t>
  </si>
  <si>
    <t>Evenness_e^H/S_Season 2</t>
  </si>
  <si>
    <t>Margalef_Season 2</t>
  </si>
  <si>
    <t>N:</t>
  </si>
  <si>
    <t>Mean:</t>
  </si>
  <si>
    <t>14.4</t>
  </si>
  <si>
    <t>4.95</t>
  </si>
  <si>
    <t>Median:</t>
  </si>
  <si>
    <t>4.5</t>
  </si>
  <si>
    <t>t test</t>
  </si>
  <si>
    <t>Mean difference:</t>
  </si>
  <si>
    <t>9.45</t>
  </si>
  <si>
    <t>95% conf.:</t>
  </si>
  <si>
    <t>(5.8011 13.099)</t>
  </si>
  <si>
    <t>t :</t>
  </si>
  <si>
    <t>5.4205</t>
  </si>
  <si>
    <t>p (same mean):</t>
  </si>
  <si>
    <t>3.1351E-05</t>
  </si>
  <si>
    <t>Exact:</t>
  </si>
  <si>
    <t>9.1553E-05</t>
  </si>
  <si>
    <t>Sign test</t>
  </si>
  <si>
    <t>r :</t>
  </si>
  <si>
    <t>p (same median):</t>
  </si>
  <si>
    <t>0.0025768</t>
  </si>
  <si>
    <t>Wilcoxon test :</t>
  </si>
  <si>
    <t>W :</t>
  </si>
  <si>
    <t>198.5</t>
  </si>
  <si>
    <t>Normal appr. z :</t>
  </si>
  <si>
    <t>3.4933</t>
  </si>
  <si>
    <t>0.00047701</t>
  </si>
  <si>
    <t>Monte Carlo (n=99999):</t>
  </si>
  <si>
    <t>0.00012</t>
  </si>
  <si>
    <t>0.00011253</t>
  </si>
  <si>
    <t>207.35</t>
  </si>
  <si>
    <t>30.2</t>
  </si>
  <si>
    <t>17.5</t>
  </si>
  <si>
    <t>177.15</t>
  </si>
  <si>
    <t>(41.646 312.65)</t>
  </si>
  <si>
    <t>2.7363</t>
  </si>
  <si>
    <t>0.013118</t>
  </si>
  <si>
    <t>0.00065231</t>
  </si>
  <si>
    <t>0.041389</t>
  </si>
  <si>
    <t>2.9866</t>
  </si>
  <si>
    <t>0.0028209</t>
  </si>
  <si>
    <t>0.00185</t>
  </si>
  <si>
    <t>0.0016899</t>
  </si>
  <si>
    <t>Abundance season 2</t>
  </si>
  <si>
    <t>0.6205</t>
  </si>
  <si>
    <t>0.46427</t>
  </si>
  <si>
    <t>0.6863</t>
  </si>
  <si>
    <t>0.5097</t>
  </si>
  <si>
    <t>0.15623</t>
  </si>
  <si>
    <t>(-0.0099373 0.32239)</t>
  </si>
  <si>
    <t>1.9679</t>
  </si>
  <si>
    <t>0.063855</t>
  </si>
  <si>
    <t>0.064322</t>
  </si>
  <si>
    <t>0.50344</t>
  </si>
  <si>
    <t>1.6053</t>
  </si>
  <si>
    <t>0.10843</t>
  </si>
  <si>
    <t>0.11346</t>
  </si>
  <si>
    <t>0.11399</t>
  </si>
  <si>
    <t>1.5429</t>
  </si>
  <si>
    <t>0.93349</t>
  </si>
  <si>
    <t>1.561</t>
  </si>
  <si>
    <t>1.043</t>
  </si>
  <si>
    <t>0.60943</t>
  </si>
  <si>
    <t>(0.18366 1.0352)</t>
  </si>
  <si>
    <t>2.9959</t>
  </si>
  <si>
    <t>0.0074293</t>
  </si>
  <si>
    <t>0.0068626</t>
  </si>
  <si>
    <t>0.11532</t>
  </si>
  <si>
    <t>2.5013</t>
  </si>
  <si>
    <t>0.012374</t>
  </si>
  <si>
    <t>0.01102</t>
  </si>
  <si>
    <t>0.010689</t>
  </si>
  <si>
    <t>0.42167</t>
  </si>
  <si>
    <t>0.56533</t>
  </si>
  <si>
    <t>0.4275</t>
  </si>
  <si>
    <t>0.56595</t>
  </si>
  <si>
    <t>0.14367</t>
  </si>
  <si>
    <t>(-0.052769 0.3401)</t>
  </si>
  <si>
    <t>-1.5308</t>
  </si>
  <si>
    <t>0.14231</t>
  </si>
  <si>
    <t>0.14237</t>
  </si>
  <si>
    <t>1.232</t>
  </si>
  <si>
    <t>0.21796</t>
  </si>
  <si>
    <t>0.2289</t>
  </si>
  <si>
    <t>0.23051</t>
  </si>
  <si>
    <t>Taxa_S_plastic</t>
  </si>
  <si>
    <t>Individuals_plastic</t>
  </si>
  <si>
    <t>Simpson_1-Dplastic</t>
  </si>
  <si>
    <t>Shannon_Hplastic</t>
  </si>
  <si>
    <t>Evenness_e^H/Splastic</t>
  </si>
  <si>
    <t>8.7</t>
  </si>
  <si>
    <t>1.95</t>
  </si>
  <si>
    <t>(-0.629 4.529)</t>
  </si>
  <si>
    <t>-1.5825</t>
  </si>
  <si>
    <t>0.13003</t>
  </si>
  <si>
    <t>0.14046</t>
  </si>
  <si>
    <t>0.16707</t>
  </si>
  <si>
    <t>1.3717</t>
  </si>
  <si>
    <t>0.17015</t>
  </si>
  <si>
    <t>0.17971</t>
  </si>
  <si>
    <t>0.17626</t>
  </si>
  <si>
    <t>Species richness</t>
  </si>
  <si>
    <t>Spieces richness_plastic</t>
  </si>
  <si>
    <t>120.6</t>
  </si>
  <si>
    <t>116.95</t>
  </si>
  <si>
    <t>30.5</t>
  </si>
  <si>
    <t>3.65</t>
  </si>
  <si>
    <t>(-100.22 107.52)</t>
  </si>
  <si>
    <t>0.073546</t>
  </si>
  <si>
    <t>0.94214</t>
  </si>
  <si>
    <t>0.9457</t>
  </si>
  <si>
    <t>0.89622</t>
  </si>
  <si>
    <t>0.37014</t>
  </si>
  <si>
    <t>0.38224</t>
  </si>
  <si>
    <t>0.38318</t>
  </si>
  <si>
    <t>0.8238</t>
  </si>
  <si>
    <t>0.44943</t>
  </si>
  <si>
    <t>0.63534</t>
  </si>
  <si>
    <t>0.65975</t>
  </si>
  <si>
    <t>0.18591</t>
  </si>
  <si>
    <t>(0.042788 0.32902)</t>
  </si>
  <si>
    <t>-2.7188</t>
  </si>
  <si>
    <t>0.013625</t>
  </si>
  <si>
    <t>0.013786</t>
  </si>
  <si>
    <t>0.26318</t>
  </si>
  <si>
    <t>2.0906</t>
  </si>
  <si>
    <t>0.036561</t>
  </si>
  <si>
    <t>0.03709</t>
  </si>
  <si>
    <t>0.036234</t>
  </si>
  <si>
    <t>1.0134</t>
  </si>
  <si>
    <t>1.4631</t>
  </si>
  <si>
    <t>1.458</t>
  </si>
  <si>
    <t>0.4497</t>
  </si>
  <si>
    <t>(0.11773 0.78166)</t>
  </si>
  <si>
    <t>-2.8353</t>
  </si>
  <si>
    <t>0.010577</t>
  </si>
  <si>
    <t>0.010357</t>
  </si>
  <si>
    <t>2.3893</t>
  </si>
  <si>
    <t>0.016881</t>
  </si>
  <si>
    <t>0.01518</t>
  </si>
  <si>
    <t>0.015312</t>
  </si>
  <si>
    <t>0.45169</t>
  </si>
  <si>
    <t>0.53532</t>
  </si>
  <si>
    <t>0.49145</t>
  </si>
  <si>
    <t>0.083635</t>
  </si>
  <si>
    <t>(-0.082055 0.24932)</t>
  </si>
  <si>
    <t>-1.0565</t>
  </si>
  <si>
    <t>0.30399</t>
  </si>
  <si>
    <t>0.30899</t>
  </si>
  <si>
    <t>0.63466</t>
  </si>
  <si>
    <t>0.52565</t>
  </si>
  <si>
    <t>0.54624</t>
  </si>
  <si>
    <t>0.54588</t>
  </si>
  <si>
    <t>PERMANOVA</t>
  </si>
  <si>
    <t>Permutation N:</t>
  </si>
  <si>
    <t>Total sum of squares:</t>
  </si>
  <si>
    <t>1.569E06</t>
  </si>
  <si>
    <t>Within-group sum of squares:</t>
  </si>
  <si>
    <t>1.477E06</t>
  </si>
  <si>
    <t>F:</t>
  </si>
  <si>
    <t>2.343</t>
  </si>
  <si>
    <t>p (same):</t>
  </si>
  <si>
    <t>0.0118</t>
  </si>
  <si>
    <t>Taxon</t>
  </si>
  <si>
    <t>Av. dissim</t>
  </si>
  <si>
    <t>Contrib. %</t>
  </si>
  <si>
    <t>Cumulative %</t>
  </si>
  <si>
    <t>Chironominae</t>
  </si>
  <si>
    <t>Tanypodinae</t>
  </si>
  <si>
    <t>Tanypodinae Tanypus</t>
  </si>
  <si>
    <t>Salifidae</t>
  </si>
  <si>
    <t>Hydropsyche</t>
  </si>
  <si>
    <t>Tubifex</t>
  </si>
  <si>
    <t>0.9</t>
  </si>
  <si>
    <t>Bulinus natalensis</t>
  </si>
  <si>
    <t>0.3</t>
  </si>
  <si>
    <t>Atherix</t>
  </si>
  <si>
    <t>2.4</t>
  </si>
  <si>
    <t>Macrobacium</t>
  </si>
  <si>
    <t>1.75</t>
  </si>
  <si>
    <t>Radix natalensis</t>
  </si>
  <si>
    <t>Pseudosuccinea columella</t>
  </si>
  <si>
    <t>0.05</t>
  </si>
  <si>
    <t>Sub Imago</t>
  </si>
  <si>
    <t>0.25</t>
  </si>
  <si>
    <t>Cheleocloeon</t>
  </si>
  <si>
    <t>0.7</t>
  </si>
  <si>
    <t>Paracnephia</t>
  </si>
  <si>
    <t>Thylakion</t>
  </si>
  <si>
    <t>Cloeon</t>
  </si>
  <si>
    <t>0.2</t>
  </si>
  <si>
    <t>Simulium</t>
  </si>
  <si>
    <t>1.15</t>
  </si>
  <si>
    <t>Eristalis</t>
  </si>
  <si>
    <t>1.9</t>
  </si>
  <si>
    <t>0.1</t>
  </si>
  <si>
    <t>Imago</t>
  </si>
  <si>
    <t>Bulinus africanus</t>
  </si>
  <si>
    <t>Dasyhelea</t>
  </si>
  <si>
    <t>0.75</t>
  </si>
  <si>
    <t>Helisoma duryi</t>
  </si>
  <si>
    <t>0.65</t>
  </si>
  <si>
    <t>Caridina</t>
  </si>
  <si>
    <t>Roundworms</t>
  </si>
  <si>
    <t>Clogmia</t>
  </si>
  <si>
    <t>1.2</t>
  </si>
  <si>
    <t>Pseudagrion</t>
  </si>
  <si>
    <t>Trithemis</t>
  </si>
  <si>
    <t>0.35</t>
  </si>
  <si>
    <t>Caenidae</t>
  </si>
  <si>
    <t>Paracnomina</t>
  </si>
  <si>
    <t>Chalcostephia flavifrons</t>
  </si>
  <si>
    <t>0.15</t>
  </si>
  <si>
    <t>Culicoides</t>
  </si>
  <si>
    <t>Psychoda</t>
  </si>
  <si>
    <t>Ceratopogoninae</t>
  </si>
  <si>
    <t>L.Plagiatus</t>
  </si>
  <si>
    <t>Suragina bivittata</t>
  </si>
  <si>
    <t>Culicid pupae</t>
  </si>
  <si>
    <t>Tipula</t>
  </si>
  <si>
    <t>92.11</t>
  </si>
  <si>
    <t>Baetis harrisoni</t>
  </si>
  <si>
    <t>Marsupiobdella Africana</t>
  </si>
  <si>
    <t>Simulium odersi</t>
  </si>
  <si>
    <t>Acanthiops</t>
  </si>
  <si>
    <t>Antocha</t>
  </si>
  <si>
    <t>Tabanus</t>
  </si>
  <si>
    <t>Ephemerellina</t>
  </si>
  <si>
    <t>Chaeocinema</t>
  </si>
  <si>
    <t>Lymnaea truncatula</t>
  </si>
  <si>
    <t>Noteridae</t>
  </si>
  <si>
    <t>Agapetus</t>
  </si>
  <si>
    <t>Platychauliodes</t>
  </si>
  <si>
    <t>Neoperla</t>
  </si>
  <si>
    <t>Leielmis</t>
  </si>
  <si>
    <t>Cariagoion glabrum</t>
  </si>
  <si>
    <t>Stenophysa marmota</t>
  </si>
  <si>
    <t>Stratiomys</t>
  </si>
  <si>
    <t>Platycypha</t>
  </si>
  <si>
    <t>Acanthiops erepens</t>
  </si>
  <si>
    <t>Orthocladiinae</t>
  </si>
  <si>
    <t>Stenelmis</t>
  </si>
  <si>
    <t>Prionocyphon Serricornis</t>
  </si>
  <si>
    <t>Euthraulus</t>
  </si>
  <si>
    <t>Bulinus forskalli</t>
  </si>
  <si>
    <t>Oligoneuriopsis</t>
  </si>
  <si>
    <t>Dixella</t>
  </si>
  <si>
    <t>Marsh beetles</t>
  </si>
  <si>
    <t>Melanoides tuberculata</t>
  </si>
  <si>
    <t>Culicine</t>
  </si>
  <si>
    <t>Pisidium</t>
  </si>
  <si>
    <t>Gonomyia</t>
  </si>
  <si>
    <t>Pettancyclus</t>
  </si>
  <si>
    <t>97.43</t>
  </si>
  <si>
    <t>Chaorborus</t>
  </si>
  <si>
    <t>Clinocera</t>
  </si>
  <si>
    <t>97.6</t>
  </si>
  <si>
    <t>Aliolimnatis</t>
  </si>
  <si>
    <t>97.68</t>
  </si>
  <si>
    <t>Helobdella</t>
  </si>
  <si>
    <t>Biomphalaria pteifferi</t>
  </si>
  <si>
    <t>Syrphini</t>
  </si>
  <si>
    <t>Afronemoura</t>
  </si>
  <si>
    <t>Tarebia Granifera</t>
  </si>
  <si>
    <t>Appasus</t>
  </si>
  <si>
    <t>Pisulia</t>
  </si>
  <si>
    <t>Ecnomus</t>
  </si>
  <si>
    <t>Pachyelmis</t>
  </si>
  <si>
    <t>Notonurus</t>
  </si>
  <si>
    <t>Musca domestica</t>
  </si>
  <si>
    <t>Microneta</t>
  </si>
  <si>
    <t>98.49</t>
  </si>
  <si>
    <t>Mesovelia Vettigera</t>
  </si>
  <si>
    <t>Allocnemis leucostica</t>
  </si>
  <si>
    <t>Hydrophorus</t>
  </si>
  <si>
    <t>98.68</t>
  </si>
  <si>
    <t>Scritidae</t>
  </si>
  <si>
    <t>Adiceila</t>
  </si>
  <si>
    <t>Aethaloptera</t>
  </si>
  <si>
    <t>Tonnoiriella</t>
  </si>
  <si>
    <t>98.92</t>
  </si>
  <si>
    <t>Cheumatopsyche</t>
  </si>
  <si>
    <t>Pinheyschna</t>
  </si>
  <si>
    <t>Hydrophilini</t>
  </si>
  <si>
    <t>Ramshorn Snails</t>
  </si>
  <si>
    <t>99.15</t>
  </si>
  <si>
    <t>Clinocerinae</t>
  </si>
  <si>
    <t>99.2</t>
  </si>
  <si>
    <t>Hilara</t>
  </si>
  <si>
    <t>Brachydeutera</t>
  </si>
  <si>
    <t>Marshflies</t>
  </si>
  <si>
    <t>Rove beetle</t>
  </si>
  <si>
    <t>Paduniella</t>
  </si>
  <si>
    <t>Housefly</t>
  </si>
  <si>
    <t>Berosus</t>
  </si>
  <si>
    <t>Chrysops</t>
  </si>
  <si>
    <t>Limnophorine</t>
  </si>
  <si>
    <t>Elpidelmis</t>
  </si>
  <si>
    <t>Cruisers</t>
  </si>
  <si>
    <t>Anophele</t>
  </si>
  <si>
    <t>Potamodytes</t>
  </si>
  <si>
    <t>Lampris</t>
  </si>
  <si>
    <t>Flat worm</t>
  </si>
  <si>
    <t>99.78</t>
  </si>
  <si>
    <t>Octhera</t>
  </si>
  <si>
    <t>99.8</t>
  </si>
  <si>
    <t>Chrysogasta</t>
  </si>
  <si>
    <t>Parahydra</t>
  </si>
  <si>
    <t>Nymphulinae</t>
  </si>
  <si>
    <t>99.86</t>
  </si>
  <si>
    <t>Tabanus taeniola</t>
  </si>
  <si>
    <t>99.88</t>
  </si>
  <si>
    <t>Sigara- Early insta</t>
  </si>
  <si>
    <t>Platycypha caligata</t>
  </si>
  <si>
    <t>99.91</t>
  </si>
  <si>
    <t>Anacaena</t>
  </si>
  <si>
    <t>99.93</t>
  </si>
  <si>
    <t>Machadorythus maculatus</t>
  </si>
  <si>
    <t>Hermetia</t>
  </si>
  <si>
    <t>99.96</t>
  </si>
  <si>
    <t>Sigara</t>
  </si>
  <si>
    <t>99.97</t>
  </si>
  <si>
    <t>Zygonyx natalensis</t>
  </si>
  <si>
    <t>99.98</t>
  </si>
  <si>
    <t>Limnophila</t>
  </si>
  <si>
    <t>99.99</t>
  </si>
  <si>
    <t>Helminthopsis</t>
  </si>
  <si>
    <t>Isopods</t>
  </si>
  <si>
    <t>Surgina bavittata (larva)</t>
  </si>
  <si>
    <t>Surgagina bivittata</t>
  </si>
  <si>
    <t>Aquatic moth</t>
  </si>
  <si>
    <t>Pseudoparaclius</t>
  </si>
  <si>
    <t>Parecnomina</t>
  </si>
  <si>
    <t>Paragomphus</t>
  </si>
  <si>
    <t>Chlorocyphidae</t>
  </si>
  <si>
    <t>Mean Plastics</t>
  </si>
  <si>
    <t>Mean Natural</t>
  </si>
  <si>
    <t>19.96</t>
  </si>
  <si>
    <t>21.39</t>
  </si>
  <si>
    <t>52.6</t>
  </si>
  <si>
    <t>32.3</t>
  </si>
  <si>
    <t>14.36</t>
  </si>
  <si>
    <t>15.39</t>
  </si>
  <si>
    <t>36.79</t>
  </si>
  <si>
    <t>16.9</t>
  </si>
  <si>
    <t>5.939</t>
  </si>
  <si>
    <t>6.365</t>
  </si>
  <si>
    <t>43.15</t>
  </si>
  <si>
    <t>10.5</t>
  </si>
  <si>
    <t>8.35</t>
  </si>
  <si>
    <t>3.195</t>
  </si>
  <si>
    <t>3.425</t>
  </si>
  <si>
    <t>46.58</t>
  </si>
  <si>
    <t>3.166</t>
  </si>
  <si>
    <t>3.394</t>
  </si>
  <si>
    <t>49.97</t>
  </si>
  <si>
    <t>2.75</t>
  </si>
  <si>
    <t>3.343</t>
  </si>
  <si>
    <t>53.31</t>
  </si>
  <si>
    <t>4.35</t>
  </si>
  <si>
    <t>3.021</t>
  </si>
  <si>
    <t>3.238</t>
  </si>
  <si>
    <t>56.55</t>
  </si>
  <si>
    <t>4.8</t>
  </si>
  <si>
    <t>1.4</t>
  </si>
  <si>
    <t>2.979</t>
  </si>
  <si>
    <t>59.53</t>
  </si>
  <si>
    <t>2.15</t>
  </si>
  <si>
    <t>2.755</t>
  </si>
  <si>
    <t>2.953</t>
  </si>
  <si>
    <t>62.48</t>
  </si>
  <si>
    <t>1.45</t>
  </si>
  <si>
    <t>1.1</t>
  </si>
  <si>
    <t>2.466</t>
  </si>
  <si>
    <t>65.13</t>
  </si>
  <si>
    <t>3.3</t>
  </si>
  <si>
    <t>2.161</t>
  </si>
  <si>
    <t>2.317</t>
  </si>
  <si>
    <t>67.44</t>
  </si>
  <si>
    <t>2.048</t>
  </si>
  <si>
    <t>2.195</t>
  </si>
  <si>
    <t>69.64</t>
  </si>
  <si>
    <t>1.974</t>
  </si>
  <si>
    <t>2.116</t>
  </si>
  <si>
    <t>71.75</t>
  </si>
  <si>
    <t>1.65</t>
  </si>
  <si>
    <t>1.872</t>
  </si>
  <si>
    <t>2.006</t>
  </si>
  <si>
    <t>73.76</t>
  </si>
  <si>
    <t>1.524</t>
  </si>
  <si>
    <t>75.39</t>
  </si>
  <si>
    <t>1.381</t>
  </si>
  <si>
    <t>1.48</t>
  </si>
  <si>
    <t>76.87</t>
  </si>
  <si>
    <t>0.45</t>
  </si>
  <si>
    <t>1.316</t>
  </si>
  <si>
    <t>1.411</t>
  </si>
  <si>
    <t>78.28</t>
  </si>
  <si>
    <t>1.26</t>
  </si>
  <si>
    <t>1.35</t>
  </si>
  <si>
    <t>79.63</t>
  </si>
  <si>
    <t>1.23</t>
  </si>
  <si>
    <t>1.318</t>
  </si>
  <si>
    <t>80.95</t>
  </si>
  <si>
    <t>1.094</t>
  </si>
  <si>
    <t>1.173</t>
  </si>
  <si>
    <t>82.12</t>
  </si>
  <si>
    <t>0.9727</t>
  </si>
  <si>
    <t>1.042</t>
  </si>
  <si>
    <t>83.17</t>
  </si>
  <si>
    <t>0.896</t>
  </si>
  <si>
    <t>0.9603</t>
  </si>
  <si>
    <t>84.13</t>
  </si>
  <si>
    <t>0.85</t>
  </si>
  <si>
    <t>0.8858</t>
  </si>
  <si>
    <t>0.9494</t>
  </si>
  <si>
    <t>85.08</t>
  </si>
  <si>
    <t>0.8646</t>
  </si>
  <si>
    <t>0.9266</t>
  </si>
  <si>
    <t>0.55</t>
  </si>
  <si>
    <t>0.7315</t>
  </si>
  <si>
    <t>0.784</t>
  </si>
  <si>
    <t>86.79</t>
  </si>
  <si>
    <t>0.6143</t>
  </si>
  <si>
    <t>0.6584</t>
  </si>
  <si>
    <t>87.45</t>
  </si>
  <si>
    <t>0.6107</t>
  </si>
  <si>
    <t>0.6545</t>
  </si>
  <si>
    <t>88.1</t>
  </si>
  <si>
    <t>0.5936</t>
  </si>
  <si>
    <t>0.6362</t>
  </si>
  <si>
    <t>88.74</t>
  </si>
  <si>
    <t>0.593</t>
  </si>
  <si>
    <t>0.6355</t>
  </si>
  <si>
    <t>89.37</t>
  </si>
  <si>
    <t>0.5746</t>
  </si>
  <si>
    <t>0.6159</t>
  </si>
  <si>
    <t>89.99</t>
  </si>
  <si>
    <t>0.5401</t>
  </si>
  <si>
    <t>0.5789</t>
  </si>
  <si>
    <t>90.57</t>
  </si>
  <si>
    <t>0.4012</t>
  </si>
  <si>
    <t>0.43</t>
  </si>
  <si>
    <t>0.3529</t>
  </si>
  <si>
    <t>0.3782</t>
  </si>
  <si>
    <t>91.37</t>
  </si>
  <si>
    <t>0.3453</t>
  </si>
  <si>
    <t>0.3701</t>
  </si>
  <si>
    <t>91.74</t>
  </si>
  <si>
    <t>0.3433</t>
  </si>
  <si>
    <t>0.3679</t>
  </si>
  <si>
    <t>0.3217</t>
  </si>
  <si>
    <t>0.3448</t>
  </si>
  <si>
    <t>92.46</t>
  </si>
  <si>
    <t>0.2935</t>
  </si>
  <si>
    <t>0.3146</t>
  </si>
  <si>
    <t>92.77</t>
  </si>
  <si>
    <t>0.2744</t>
  </si>
  <si>
    <t>0.294</t>
  </si>
  <si>
    <t>93.07</t>
  </si>
  <si>
    <t>0.2656</t>
  </si>
  <si>
    <t>0.2847</t>
  </si>
  <si>
    <t>93.35</t>
  </si>
  <si>
    <t>0.246</t>
  </si>
  <si>
    <t>0.2636</t>
  </si>
  <si>
    <t>93.61</t>
  </si>
  <si>
    <t>0.2306</t>
  </si>
  <si>
    <t>0.2471</t>
  </si>
  <si>
    <t>93.86</t>
  </si>
  <si>
    <t>0.2252</t>
  </si>
  <si>
    <t>0.2414</t>
  </si>
  <si>
    <t>94.1</t>
  </si>
  <si>
    <t>0.2156</t>
  </si>
  <si>
    <t>0.2311</t>
  </si>
  <si>
    <t>94.33</t>
  </si>
  <si>
    <t>0.2038</t>
  </si>
  <si>
    <t>0.2184</t>
  </si>
  <si>
    <t>94.55</t>
  </si>
  <si>
    <t>0.1927</t>
  </si>
  <si>
    <t>0.2065</t>
  </si>
  <si>
    <t>94.76</t>
  </si>
  <si>
    <t>0.1878</t>
  </si>
  <si>
    <t>0.2013</t>
  </si>
  <si>
    <t>94.96</t>
  </si>
  <si>
    <t>0.1803</t>
  </si>
  <si>
    <t>0.1932</t>
  </si>
  <si>
    <t>95.15</t>
  </si>
  <si>
    <t>0.1795</t>
  </si>
  <si>
    <t>0.1924</t>
  </si>
  <si>
    <t>95.35</t>
  </si>
  <si>
    <t>0.1746</t>
  </si>
  <si>
    <t>0.1872</t>
  </si>
  <si>
    <t>95.53</t>
  </si>
  <si>
    <t>0.1525</t>
  </si>
  <si>
    <t>0.1634</t>
  </si>
  <si>
    <t>95.7</t>
  </si>
  <si>
    <t>0.1376</t>
  </si>
  <si>
    <t>0.1474</t>
  </si>
  <si>
    <t>95.84</t>
  </si>
  <si>
    <t>0.1372</t>
  </si>
  <si>
    <t>95.98</t>
  </si>
  <si>
    <t>96.12</t>
  </si>
  <si>
    <t>0.1261</t>
  </si>
  <si>
    <t>0.1351</t>
  </si>
  <si>
    <t>96.25</t>
  </si>
  <si>
    <t>0.1123</t>
  </si>
  <si>
    <t>0.1203</t>
  </si>
  <si>
    <t>96.37</t>
  </si>
  <si>
    <t>0.1114</t>
  </si>
  <si>
    <t>0.1194</t>
  </si>
  <si>
    <t>96.49</t>
  </si>
  <si>
    <t>0.1107</t>
  </si>
  <si>
    <t>0.1187</t>
  </si>
  <si>
    <t>96.61</t>
  </si>
  <si>
    <t>0.1186</t>
  </si>
  <si>
    <t>96.73</t>
  </si>
  <si>
    <t>0.1027</t>
  </si>
  <si>
    <t>0.11</t>
  </si>
  <si>
    <t>96.84</t>
  </si>
  <si>
    <t>0.09593</t>
  </si>
  <si>
    <t>0.1028</t>
  </si>
  <si>
    <t>96.94</t>
  </si>
  <si>
    <t>0.09545</t>
  </si>
  <si>
    <t>0.1023</t>
  </si>
  <si>
    <t>97.05</t>
  </si>
  <si>
    <t>0.08897</t>
  </si>
  <si>
    <t>0.09536</t>
  </si>
  <si>
    <t>97.14</t>
  </si>
  <si>
    <t>97.24</t>
  </si>
  <si>
    <t>0.08821</t>
  </si>
  <si>
    <t>0.09454</t>
  </si>
  <si>
    <t>97.33</t>
  </si>
  <si>
    <t>0.08795</t>
  </si>
  <si>
    <t>0.09426</t>
  </si>
  <si>
    <t>0.08547</t>
  </si>
  <si>
    <t>0.09161</t>
  </si>
  <si>
    <t>97.52</t>
  </si>
  <si>
    <t>0.07816</t>
  </si>
  <si>
    <t>0.08377</t>
  </si>
  <si>
    <t>0.07804</t>
  </si>
  <si>
    <t>0.08365</t>
  </si>
  <si>
    <t>0.0758</t>
  </si>
  <si>
    <t>0.08124</t>
  </si>
  <si>
    <t>97.77</t>
  </si>
  <si>
    <t>0.07148</t>
  </si>
  <si>
    <t>0.07661</t>
  </si>
  <si>
    <t>97.84</t>
  </si>
  <si>
    <t>0.06759</t>
  </si>
  <si>
    <t>0.07244</t>
  </si>
  <si>
    <t>97.91</t>
  </si>
  <si>
    <t>0.06618</t>
  </si>
  <si>
    <t>0.07093</t>
  </si>
  <si>
    <t>97.99</t>
  </si>
  <si>
    <t>0.06482</t>
  </si>
  <si>
    <t>0.06948</t>
  </si>
  <si>
    <t>98.05</t>
  </si>
  <si>
    <t>0.06401</t>
  </si>
  <si>
    <t>0.0686</t>
  </si>
  <si>
    <t>98.12</t>
  </si>
  <si>
    <t>0.06332</t>
  </si>
  <si>
    <t>0.06787</t>
  </si>
  <si>
    <t>98.19</t>
  </si>
  <si>
    <t>0.06034</t>
  </si>
  <si>
    <t>0.06467</t>
  </si>
  <si>
    <t>98.26</t>
  </si>
  <si>
    <t>0.05848</t>
  </si>
  <si>
    <t>0.06268</t>
  </si>
  <si>
    <t>98.32</t>
  </si>
  <si>
    <t>0.05432</t>
  </si>
  <si>
    <t>0.05822</t>
  </si>
  <si>
    <t>98.38</t>
  </si>
  <si>
    <t>0.052</t>
  </si>
  <si>
    <t>0.05573</t>
  </si>
  <si>
    <t>98.43</t>
  </si>
  <si>
    <t>0.0508</t>
  </si>
  <si>
    <t>0.05445</t>
  </si>
  <si>
    <t>0.05029</t>
  </si>
  <si>
    <t>0.0539</t>
  </si>
  <si>
    <t>98.54</t>
  </si>
  <si>
    <t>0.04504</t>
  </si>
  <si>
    <t>0.04827</t>
  </si>
  <si>
    <t>98.59</t>
  </si>
  <si>
    <t>0.04449</t>
  </si>
  <si>
    <t>0.04768</t>
  </si>
  <si>
    <t>98.64</t>
  </si>
  <si>
    <t>98.73</t>
  </si>
  <si>
    <t>98.78</t>
  </si>
  <si>
    <t>98.83</t>
  </si>
  <si>
    <t>98.88</t>
  </si>
  <si>
    <t>98.97</t>
  </si>
  <si>
    <t>99.02</t>
  </si>
  <si>
    <t>0.04266</t>
  </si>
  <si>
    <t>0.04572</t>
  </si>
  <si>
    <t>99.06</t>
  </si>
  <si>
    <t>99.11</t>
  </si>
  <si>
    <t>0.0418</t>
  </si>
  <si>
    <t>0.04481</t>
  </si>
  <si>
    <t>99.24</t>
  </si>
  <si>
    <t>99.29</t>
  </si>
  <si>
    <t>99.33</t>
  </si>
  <si>
    <t>0.04141</t>
  </si>
  <si>
    <t>0.04438</t>
  </si>
  <si>
    <t>99.38</t>
  </si>
  <si>
    <t>0.03864</t>
  </si>
  <si>
    <t>99.42</t>
  </si>
  <si>
    <t>0.03725</t>
  </si>
  <si>
    <t>0.03992</t>
  </si>
  <si>
    <t>99.46</t>
  </si>
  <si>
    <t>99.5</t>
  </si>
  <si>
    <t>0.03711</t>
  </si>
  <si>
    <t>0.03977</t>
  </si>
  <si>
    <t>99.54</t>
  </si>
  <si>
    <t>0.03691</t>
  </si>
  <si>
    <t>0.03956</t>
  </si>
  <si>
    <t>99.58</t>
  </si>
  <si>
    <t>99.62</t>
  </si>
  <si>
    <t>0.0337</t>
  </si>
  <si>
    <t>0.03612</t>
  </si>
  <si>
    <t>99.65</t>
  </si>
  <si>
    <t>0.03125</t>
  </si>
  <si>
    <t>0.03349</t>
  </si>
  <si>
    <t>99.69</t>
  </si>
  <si>
    <t>99.72</t>
  </si>
  <si>
    <t>0.02927</t>
  </si>
  <si>
    <t>0.03137</t>
  </si>
  <si>
    <t>99.75</t>
  </si>
  <si>
    <t>0.02706</t>
  </si>
  <si>
    <t>0.02901</t>
  </si>
  <si>
    <t>0.01932</t>
  </si>
  <si>
    <t>0.0207</t>
  </si>
  <si>
    <t>99.82</t>
  </si>
  <si>
    <t>0.01855</t>
  </si>
  <si>
    <t>0.01989</t>
  </si>
  <si>
    <t>99.84</t>
  </si>
  <si>
    <t>0.01563</t>
  </si>
  <si>
    <t>0.01675</t>
  </si>
  <si>
    <t>0.01377</t>
  </si>
  <si>
    <t>0.01476</t>
  </si>
  <si>
    <t>99.89</t>
  </si>
  <si>
    <t>0.013</t>
  </si>
  <si>
    <t>0.01393</t>
  </si>
  <si>
    <t>99.92</t>
  </si>
  <si>
    <t>99.95</t>
  </si>
  <si>
    <t>0.0108</t>
  </si>
  <si>
    <t>0.01158</t>
  </si>
  <si>
    <t>0.009827</t>
  </si>
  <si>
    <t>0.01053</t>
  </si>
  <si>
    <t>0.004914</t>
  </si>
  <si>
    <t>0.005266</t>
  </si>
  <si>
    <t>Taxa_S_Season1</t>
  </si>
  <si>
    <t>Abundance_Season1</t>
  </si>
  <si>
    <t>Evenness_e^H/S_Season1</t>
  </si>
  <si>
    <t>Simpson_1-D_Season1</t>
  </si>
  <si>
    <t>Shannon_H_Season1</t>
  </si>
  <si>
    <t>Taxa_S_Natural</t>
  </si>
  <si>
    <t>Individuals_Natural</t>
  </si>
  <si>
    <t>Simpson_1-D_Natural</t>
  </si>
  <si>
    <t>Shannon_H_Natural</t>
  </si>
  <si>
    <t>Evenness_e^H/S_Natural</t>
  </si>
  <si>
    <t>Evenness_e^H/Splastic_Natural</t>
  </si>
  <si>
    <t>Natural</t>
  </si>
  <si>
    <t>Plastic</t>
  </si>
  <si>
    <t>Calculate (Means and SD) and/ or (Median with range) and fill the table I gave you on word</t>
  </si>
  <si>
    <t>Eveness</t>
  </si>
  <si>
    <t>Simpson_</t>
  </si>
  <si>
    <t xml:space="preserve">Shannon </t>
  </si>
  <si>
    <t>Factor / Model</t>
  </si>
  <si>
    <t>df</t>
  </si>
  <si>
    <t>Sum of Squares</t>
  </si>
  <si>
    <t>R²</t>
  </si>
  <si>
    <t>F.Model</t>
  </si>
  <si>
    <t>p-value</t>
  </si>
  <si>
    <t>0.295</t>
  </si>
  <si>
    <t>0.023</t>
  </si>
  <si>
    <t>0.820</t>
  </si>
  <si>
    <t>0.711</t>
  </si>
  <si>
    <t>0.816</t>
  </si>
  <si>
    <t>0.063</t>
  </si>
  <si>
    <t>2.369</t>
  </si>
  <si>
    <t>0.001***</t>
  </si>
  <si>
    <t>Substrate × Season</t>
  </si>
  <si>
    <t>1.493</t>
  </si>
  <si>
    <t>0.116</t>
  </si>
  <si>
    <t>0.017*</t>
  </si>
  <si>
    <t>Full model (Substrate × Season + environmental variables)</t>
  </si>
  <si>
    <t>6.632</t>
  </si>
  <si>
    <t>0.515</t>
  </si>
  <si>
    <t>1.879</t>
  </si>
  <si>
    <t>Mean</t>
  </si>
  <si>
    <t>Median</t>
  </si>
  <si>
    <t>Min</t>
  </si>
  <si>
    <t>Max</t>
  </si>
  <si>
    <t>Taxa_Species richness</t>
  </si>
  <si>
    <t>Individuals/Abundance</t>
  </si>
  <si>
    <t>SD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</si>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</sst>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0" fontId="0" fillId="7" borderId="0" xfId="0" applyFill="1"/>
    <xf numFmtId="0" fontId="1" fillId="0" borderId="0" xfId="0" applyFont="1"/>
    <xf numFmtId="0" fontId="1" fillId="7" borderId="0" xfId="0" applyFont="1" applyFill="1"/>
    <xf numFmtId="2" fontId="0" fillId="7" borderId="0" xfId="0" applyNumberFormat="1" applyFill="1"/>
    <xf numFmtId="0" fontId="1" fillId="2" borderId="0" xfId="0" applyFont="1" applyFill="1"/>
    <xf numFmtId="0" fontId="0" fillId="8" borderId="0" xfId="0" applyFill="1"/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ule Mpopetsi" id="{869721D5-8307-4B47-B26C-448241B7AE13}" userId="4bf30d8e4e84f04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0-08T18:12:43.21" personId="{869721D5-8307-4B47-B26C-448241B7AE13}" id="{CF9968F3-521D-468E-9773-8AE841F17089}">
    <text>Focus on only these 5 taxa</text>
  </threadedComment>
  <threadedComment ref="D6" dT="2025-10-08T18:13:20.94" personId="{869721D5-8307-4B47-B26C-448241B7AE13}" id="{A7357FD7-C6E6-4194-A7D1-DCD1D7F5D2B3}">
    <text xml:space="preserve">Their combined contribution is almost 50%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0-08T18:14:08.04" personId="{869721D5-8307-4B47-B26C-448241B7AE13}" id="{2AE56C4A-C77D-42D2-8043-D2D03AE3A897}">
    <text>These are PERMANOVA results for macroinvertebrates (look for examples on how they are written)</text>
  </threadedComment>
  <threadedComment ref="A13" dT="2025-10-08T18:49:40.20" personId="{869721D5-8307-4B47-B26C-448241B7AE13}" id="{40813977-E2B5-438C-A1F8-39A0BB1EFC39}">
    <text>Use these results. Learn how to interpret them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7936-F958-442A-B66F-0CBB89566D6A}">
  <dimension ref="A1:N38"/>
  <sheetViews>
    <sheetView workbookViewId="0">
      <selection sqref="A1:A1048576"/>
    </sheetView>
  </sheetViews>
  <sheetFormatPr defaultColWidth="7.1796875" defaultRowHeight="14.5" x14ac:dyDescent="0.35"/>
  <cols>
    <col min="1" max="1" width="7.36328125" bestFit="1" customWidth="1"/>
    <col min="2" max="2" width="6.453125" bestFit="1" customWidth="1"/>
    <col min="3" max="3" width="9.453125" bestFit="1" customWidth="1"/>
    <col min="4" max="4" width="12.1796875" bestFit="1" customWidth="1"/>
    <col min="5" max="5" width="11.54296875" bestFit="1" customWidth="1"/>
    <col min="6" max="6" width="10.08984375" bestFit="1" customWidth="1"/>
    <col min="7" max="7" width="14.453125" bestFit="1" customWidth="1"/>
    <col min="8" max="8" width="7.54296875" bestFit="1" customWidth="1"/>
    <col min="9" max="9" width="9.1796875" bestFit="1" customWidth="1"/>
    <col min="10" max="10" width="8" bestFit="1" customWidth="1"/>
    <col min="11" max="11" width="11.08984375" bestFit="1" customWidth="1"/>
    <col min="12" max="12" width="11.1796875" bestFit="1" customWidth="1"/>
    <col min="13" max="13" width="12.36328125" bestFit="1" customWidth="1"/>
    <col min="14" max="14" width="6.90625" bestFit="1" customWidth="1"/>
  </cols>
  <sheetData>
    <row r="1" spans="1:14" x14ac:dyDescent="0.35">
      <c r="B1" t="s">
        <v>37</v>
      </c>
      <c r="C1" t="s">
        <v>38</v>
      </c>
      <c r="D1" t="s">
        <v>39</v>
      </c>
      <c r="E1" t="s">
        <v>74</v>
      </c>
      <c r="F1" t="s">
        <v>108</v>
      </c>
      <c r="G1" t="s">
        <v>143</v>
      </c>
      <c r="H1" t="s">
        <v>178</v>
      </c>
      <c r="I1" t="s">
        <v>215</v>
      </c>
      <c r="J1" t="s">
        <v>253</v>
      </c>
      <c r="K1" t="s">
        <v>289</v>
      </c>
      <c r="L1" t="s">
        <v>324</v>
      </c>
      <c r="M1" t="s">
        <v>360</v>
      </c>
      <c r="N1" t="s">
        <v>387</v>
      </c>
    </row>
    <row r="2" spans="1:14" x14ac:dyDescent="0.35">
      <c r="A2" t="s">
        <v>0</v>
      </c>
      <c r="B2">
        <v>13</v>
      </c>
      <c r="C2">
        <v>75</v>
      </c>
      <c r="D2" t="s">
        <v>40</v>
      </c>
      <c r="E2" t="s">
        <v>75</v>
      </c>
      <c r="F2" t="s">
        <v>109</v>
      </c>
      <c r="G2" t="s">
        <v>144</v>
      </c>
      <c r="H2" t="s">
        <v>179</v>
      </c>
      <c r="I2" t="s">
        <v>216</v>
      </c>
      <c r="J2" t="s">
        <v>254</v>
      </c>
      <c r="K2" t="s">
        <v>290</v>
      </c>
      <c r="L2" t="s">
        <v>325</v>
      </c>
      <c r="M2" t="s">
        <v>361</v>
      </c>
      <c r="N2" t="s">
        <v>388</v>
      </c>
    </row>
    <row r="3" spans="1:14" x14ac:dyDescent="0.35">
      <c r="A3" t="s">
        <v>1</v>
      </c>
      <c r="B3">
        <v>20</v>
      </c>
      <c r="C3">
        <v>59</v>
      </c>
      <c r="D3" t="s">
        <v>41</v>
      </c>
      <c r="E3" t="s">
        <v>76</v>
      </c>
      <c r="F3" t="s">
        <v>110</v>
      </c>
      <c r="G3" t="s">
        <v>145</v>
      </c>
      <c r="H3" t="s">
        <v>180</v>
      </c>
      <c r="I3" t="s">
        <v>217</v>
      </c>
      <c r="J3" t="s">
        <v>255</v>
      </c>
      <c r="K3" t="s">
        <v>291</v>
      </c>
      <c r="L3" t="s">
        <v>326</v>
      </c>
      <c r="M3" t="s">
        <v>362</v>
      </c>
      <c r="N3" t="s">
        <v>389</v>
      </c>
    </row>
    <row r="4" spans="1:14" x14ac:dyDescent="0.35">
      <c r="A4" t="s">
        <v>2</v>
      </c>
      <c r="B4">
        <v>15</v>
      </c>
      <c r="C4">
        <v>89</v>
      </c>
      <c r="D4" t="s">
        <v>42</v>
      </c>
      <c r="E4" t="s">
        <v>77</v>
      </c>
      <c r="F4" t="s">
        <v>111</v>
      </c>
      <c r="G4" t="s">
        <v>146</v>
      </c>
      <c r="H4" t="s">
        <v>181</v>
      </c>
      <c r="I4" t="s">
        <v>218</v>
      </c>
      <c r="J4" t="s">
        <v>256</v>
      </c>
      <c r="K4" t="s">
        <v>292</v>
      </c>
      <c r="L4" t="s">
        <v>327</v>
      </c>
      <c r="M4" t="s">
        <v>363</v>
      </c>
      <c r="N4" t="s">
        <v>390</v>
      </c>
    </row>
    <row r="5" spans="1:14" x14ac:dyDescent="0.35">
      <c r="A5" t="s">
        <v>3</v>
      </c>
      <c r="B5">
        <v>5</v>
      </c>
      <c r="C5">
        <v>22</v>
      </c>
      <c r="D5" t="s">
        <v>43</v>
      </c>
      <c r="E5" t="s">
        <v>78</v>
      </c>
      <c r="F5" t="s">
        <v>112</v>
      </c>
      <c r="G5" t="s">
        <v>147</v>
      </c>
      <c r="H5" t="s">
        <v>182</v>
      </c>
      <c r="I5" t="s">
        <v>219</v>
      </c>
      <c r="J5" t="s">
        <v>257</v>
      </c>
      <c r="K5" t="s">
        <v>293</v>
      </c>
      <c r="L5" t="s">
        <v>328</v>
      </c>
      <c r="M5" t="s">
        <v>364</v>
      </c>
      <c r="N5">
        <v>8</v>
      </c>
    </row>
    <row r="6" spans="1:14" x14ac:dyDescent="0.35">
      <c r="A6" t="s">
        <v>4</v>
      </c>
      <c r="B6">
        <v>13</v>
      </c>
      <c r="C6">
        <v>50</v>
      </c>
      <c r="D6" t="s">
        <v>44</v>
      </c>
      <c r="E6" t="s">
        <v>79</v>
      </c>
      <c r="F6" t="s">
        <v>113</v>
      </c>
      <c r="G6" t="s">
        <v>148</v>
      </c>
      <c r="H6" t="s">
        <v>183</v>
      </c>
      <c r="I6" t="s">
        <v>220</v>
      </c>
      <c r="J6" t="s">
        <v>258</v>
      </c>
      <c r="K6" t="s">
        <v>294</v>
      </c>
      <c r="L6" t="s">
        <v>329</v>
      </c>
      <c r="M6" t="s">
        <v>365</v>
      </c>
      <c r="N6">
        <v>27</v>
      </c>
    </row>
    <row r="7" spans="1:14" x14ac:dyDescent="0.35">
      <c r="A7" t="s">
        <v>5</v>
      </c>
      <c r="B7">
        <v>19</v>
      </c>
      <c r="C7">
        <v>65</v>
      </c>
      <c r="D7" t="s">
        <v>45</v>
      </c>
      <c r="E7" t="s">
        <v>80</v>
      </c>
      <c r="F7" t="s">
        <v>114</v>
      </c>
      <c r="G7" t="s">
        <v>149</v>
      </c>
      <c r="H7" t="s">
        <v>184</v>
      </c>
      <c r="I7" t="s">
        <v>221</v>
      </c>
      <c r="J7" t="s">
        <v>259</v>
      </c>
      <c r="K7" t="s">
        <v>295</v>
      </c>
      <c r="L7" t="s">
        <v>330</v>
      </c>
      <c r="M7" t="s">
        <v>366</v>
      </c>
      <c r="N7">
        <v>34</v>
      </c>
    </row>
    <row r="8" spans="1:14" x14ac:dyDescent="0.35">
      <c r="A8" t="s">
        <v>6</v>
      </c>
      <c r="B8">
        <v>5</v>
      </c>
      <c r="C8">
        <v>7</v>
      </c>
      <c r="D8" t="s">
        <v>46</v>
      </c>
      <c r="E8" t="s">
        <v>81</v>
      </c>
      <c r="F8" t="s">
        <v>115</v>
      </c>
      <c r="G8" t="s">
        <v>150</v>
      </c>
      <c r="H8" t="s">
        <v>185</v>
      </c>
      <c r="I8" t="s">
        <v>222</v>
      </c>
      <c r="J8" t="s">
        <v>260</v>
      </c>
      <c r="K8" t="s">
        <v>296</v>
      </c>
      <c r="L8" t="s">
        <v>331</v>
      </c>
      <c r="M8" t="s">
        <v>367</v>
      </c>
      <c r="N8">
        <v>6</v>
      </c>
    </row>
    <row r="9" spans="1:14" x14ac:dyDescent="0.35">
      <c r="A9" t="s">
        <v>7</v>
      </c>
      <c r="B9">
        <v>9</v>
      </c>
      <c r="C9">
        <v>34</v>
      </c>
      <c r="D9" t="s">
        <v>47</v>
      </c>
      <c r="E9" t="s">
        <v>82</v>
      </c>
      <c r="F9" t="s">
        <v>116</v>
      </c>
      <c r="G9" t="s">
        <v>151</v>
      </c>
      <c r="H9" t="s">
        <v>186</v>
      </c>
      <c r="I9" t="s">
        <v>223</v>
      </c>
      <c r="J9" t="s">
        <v>261</v>
      </c>
      <c r="K9" t="s">
        <v>297</v>
      </c>
      <c r="L9" t="s">
        <v>332</v>
      </c>
      <c r="M9" t="s">
        <v>53</v>
      </c>
      <c r="N9">
        <v>12</v>
      </c>
    </row>
    <row r="10" spans="1:14" x14ac:dyDescent="0.35">
      <c r="A10" t="s">
        <v>8</v>
      </c>
      <c r="B10">
        <v>3</v>
      </c>
      <c r="C10">
        <v>3</v>
      </c>
      <c r="D10" t="s">
        <v>48</v>
      </c>
      <c r="E10" t="s">
        <v>83</v>
      </c>
      <c r="F10" t="s">
        <v>117</v>
      </c>
      <c r="G10">
        <v>1</v>
      </c>
      <c r="H10" t="s">
        <v>187</v>
      </c>
      <c r="I10" t="s">
        <v>224</v>
      </c>
      <c r="J10" t="s">
        <v>262</v>
      </c>
      <c r="K10">
        <v>1</v>
      </c>
      <c r="L10">
        <v>0</v>
      </c>
      <c r="M10" t="s">
        <v>48</v>
      </c>
      <c r="N10">
        <v>6</v>
      </c>
    </row>
    <row r="11" spans="1:14" x14ac:dyDescent="0.35">
      <c r="A11" t="s">
        <v>9</v>
      </c>
      <c r="B11">
        <v>4</v>
      </c>
      <c r="C11">
        <v>6</v>
      </c>
      <c r="D11" t="s">
        <v>48</v>
      </c>
      <c r="E11" t="s">
        <v>83</v>
      </c>
      <c r="F11" t="s">
        <v>118</v>
      </c>
      <c r="G11" t="s">
        <v>152</v>
      </c>
      <c r="H11" t="s">
        <v>188</v>
      </c>
      <c r="I11" t="s">
        <v>225</v>
      </c>
      <c r="J11" t="s">
        <v>263</v>
      </c>
      <c r="K11" t="s">
        <v>298</v>
      </c>
      <c r="L11" t="s">
        <v>333</v>
      </c>
      <c r="M11" t="s">
        <v>53</v>
      </c>
      <c r="N11">
        <v>7</v>
      </c>
    </row>
    <row r="12" spans="1:14" x14ac:dyDescent="0.35">
      <c r="A12" t="s">
        <v>10</v>
      </c>
      <c r="B12">
        <v>7</v>
      </c>
      <c r="C12">
        <v>29</v>
      </c>
      <c r="D12" t="s">
        <v>49</v>
      </c>
      <c r="E12" t="s">
        <v>84</v>
      </c>
      <c r="F12" t="s">
        <v>119</v>
      </c>
      <c r="G12" t="s">
        <v>153</v>
      </c>
      <c r="H12" t="s">
        <v>189</v>
      </c>
      <c r="I12" t="s">
        <v>226</v>
      </c>
      <c r="J12" t="s">
        <v>264</v>
      </c>
      <c r="K12" t="s">
        <v>299</v>
      </c>
      <c r="L12" t="s">
        <v>334</v>
      </c>
      <c r="M12" t="s">
        <v>368</v>
      </c>
      <c r="N12" t="s">
        <v>391</v>
      </c>
    </row>
    <row r="13" spans="1:14" x14ac:dyDescent="0.35">
      <c r="A13" t="s">
        <v>11</v>
      </c>
      <c r="B13">
        <v>16</v>
      </c>
      <c r="C13">
        <v>996</v>
      </c>
      <c r="D13" t="s">
        <v>50</v>
      </c>
      <c r="E13" t="s">
        <v>85</v>
      </c>
      <c r="F13" t="s">
        <v>120</v>
      </c>
      <c r="G13" t="s">
        <v>154</v>
      </c>
      <c r="H13" t="s">
        <v>190</v>
      </c>
      <c r="I13" t="s">
        <v>227</v>
      </c>
      <c r="J13" t="s">
        <v>265</v>
      </c>
      <c r="K13" t="s">
        <v>300</v>
      </c>
      <c r="L13" t="s">
        <v>335</v>
      </c>
      <c r="M13" t="s">
        <v>369</v>
      </c>
      <c r="N13" t="s">
        <v>392</v>
      </c>
    </row>
    <row r="14" spans="1:14" x14ac:dyDescent="0.35">
      <c r="A14" t="s">
        <v>12</v>
      </c>
      <c r="B14">
        <v>12</v>
      </c>
      <c r="C14">
        <v>384</v>
      </c>
      <c r="D14" t="s">
        <v>51</v>
      </c>
      <c r="E14" t="s">
        <v>86</v>
      </c>
      <c r="F14" t="s">
        <v>121</v>
      </c>
      <c r="G14" t="s">
        <v>155</v>
      </c>
      <c r="H14" t="s">
        <v>191</v>
      </c>
      <c r="I14" t="s">
        <v>228</v>
      </c>
      <c r="J14" t="s">
        <v>266</v>
      </c>
      <c r="K14" t="s">
        <v>301</v>
      </c>
      <c r="L14" t="s">
        <v>336</v>
      </c>
      <c r="M14" t="s">
        <v>370</v>
      </c>
      <c r="N14">
        <v>33</v>
      </c>
    </row>
    <row r="15" spans="1:14" x14ac:dyDescent="0.35">
      <c r="A15" t="s">
        <v>13</v>
      </c>
      <c r="B15">
        <v>4</v>
      </c>
      <c r="C15">
        <v>12</v>
      </c>
      <c r="D15" t="s">
        <v>52</v>
      </c>
      <c r="E15" t="s">
        <v>87</v>
      </c>
      <c r="F15" t="s">
        <v>122</v>
      </c>
      <c r="G15" t="s">
        <v>156</v>
      </c>
      <c r="H15" t="s">
        <v>192</v>
      </c>
      <c r="I15" t="s">
        <v>229</v>
      </c>
      <c r="J15" t="s">
        <v>267</v>
      </c>
      <c r="K15" t="s">
        <v>302</v>
      </c>
      <c r="L15" t="s">
        <v>337</v>
      </c>
      <c r="M15" t="s">
        <v>53</v>
      </c>
      <c r="N15">
        <v>4</v>
      </c>
    </row>
    <row r="16" spans="1:14" x14ac:dyDescent="0.35">
      <c r="A16" t="s">
        <v>14</v>
      </c>
      <c r="B16">
        <v>2</v>
      </c>
      <c r="C16">
        <v>2</v>
      </c>
      <c r="D16" t="s">
        <v>53</v>
      </c>
      <c r="E16" t="s">
        <v>53</v>
      </c>
      <c r="F16" t="s">
        <v>123</v>
      </c>
      <c r="G16">
        <v>1</v>
      </c>
      <c r="H16" t="s">
        <v>193</v>
      </c>
      <c r="I16" t="s">
        <v>230</v>
      </c>
      <c r="J16" t="s">
        <v>268</v>
      </c>
      <c r="K16">
        <v>1</v>
      </c>
      <c r="L16">
        <v>0</v>
      </c>
      <c r="M16" t="s">
        <v>53</v>
      </c>
      <c r="N16">
        <v>3</v>
      </c>
    </row>
    <row r="17" spans="1:14" x14ac:dyDescent="0.35">
      <c r="A17" t="s">
        <v>15</v>
      </c>
      <c r="B17">
        <v>12</v>
      </c>
      <c r="C17">
        <v>29</v>
      </c>
      <c r="D17" t="s">
        <v>54</v>
      </c>
      <c r="E17" t="s">
        <v>88</v>
      </c>
      <c r="F17" t="s">
        <v>124</v>
      </c>
      <c r="G17" t="s">
        <v>157</v>
      </c>
      <c r="H17" t="s">
        <v>194</v>
      </c>
      <c r="I17" t="s">
        <v>231</v>
      </c>
      <c r="J17" t="s">
        <v>269</v>
      </c>
      <c r="K17" t="s">
        <v>303</v>
      </c>
      <c r="L17" t="s">
        <v>338</v>
      </c>
      <c r="M17" t="s">
        <v>371</v>
      </c>
      <c r="N17">
        <v>14</v>
      </c>
    </row>
    <row r="18" spans="1:14" x14ac:dyDescent="0.35">
      <c r="A18" t="s">
        <v>16</v>
      </c>
      <c r="B18">
        <v>17</v>
      </c>
      <c r="C18">
        <v>309</v>
      </c>
      <c r="D18" t="s">
        <v>55</v>
      </c>
      <c r="E18" t="s">
        <v>89</v>
      </c>
      <c r="F18" t="s">
        <v>125</v>
      </c>
      <c r="G18" t="s">
        <v>158</v>
      </c>
      <c r="H18" t="s">
        <v>195</v>
      </c>
      <c r="I18" t="s">
        <v>232</v>
      </c>
      <c r="J18" t="s">
        <v>270</v>
      </c>
      <c r="K18" t="s">
        <v>304</v>
      </c>
      <c r="L18" t="s">
        <v>339</v>
      </c>
      <c r="M18" t="s">
        <v>372</v>
      </c>
      <c r="N18" t="s">
        <v>393</v>
      </c>
    </row>
    <row r="19" spans="1:14" x14ac:dyDescent="0.35">
      <c r="A19" t="s">
        <v>17</v>
      </c>
      <c r="B19">
        <v>4</v>
      </c>
      <c r="C19">
        <v>21</v>
      </c>
      <c r="D19" t="s">
        <v>56</v>
      </c>
      <c r="E19" t="s">
        <v>90</v>
      </c>
      <c r="F19" t="s">
        <v>126</v>
      </c>
      <c r="G19" t="s">
        <v>159</v>
      </c>
      <c r="H19" t="s">
        <v>196</v>
      </c>
      <c r="I19" t="s">
        <v>233</v>
      </c>
      <c r="J19" t="s">
        <v>271</v>
      </c>
      <c r="K19" t="s">
        <v>305</v>
      </c>
      <c r="L19" t="s">
        <v>340</v>
      </c>
      <c r="M19" t="s">
        <v>373</v>
      </c>
      <c r="N19">
        <v>5</v>
      </c>
    </row>
    <row r="20" spans="1:14" x14ac:dyDescent="0.35">
      <c r="A20" t="s">
        <v>18</v>
      </c>
      <c r="B20">
        <v>11</v>
      </c>
      <c r="C20">
        <v>70</v>
      </c>
      <c r="D20" t="s">
        <v>57</v>
      </c>
      <c r="E20" t="s">
        <v>91</v>
      </c>
      <c r="F20" t="s">
        <v>127</v>
      </c>
      <c r="G20" t="s">
        <v>160</v>
      </c>
      <c r="H20" t="s">
        <v>197</v>
      </c>
      <c r="I20" t="s">
        <v>234</v>
      </c>
      <c r="J20" t="s">
        <v>272</v>
      </c>
      <c r="K20" t="s">
        <v>306</v>
      </c>
      <c r="L20" t="s">
        <v>341</v>
      </c>
      <c r="M20" t="s">
        <v>374</v>
      </c>
      <c r="N20" t="s">
        <v>394</v>
      </c>
    </row>
    <row r="21" spans="1:14" x14ac:dyDescent="0.35">
      <c r="A21" t="s">
        <v>19</v>
      </c>
      <c r="B21">
        <v>5</v>
      </c>
      <c r="C21">
        <v>10</v>
      </c>
      <c r="D21" t="s">
        <v>58</v>
      </c>
      <c r="E21" t="s">
        <v>92</v>
      </c>
      <c r="F21" t="s">
        <v>128</v>
      </c>
      <c r="G21" t="s">
        <v>161</v>
      </c>
      <c r="H21" t="s">
        <v>198</v>
      </c>
      <c r="I21" t="s">
        <v>235</v>
      </c>
      <c r="J21" t="s">
        <v>273</v>
      </c>
      <c r="K21" t="s">
        <v>307</v>
      </c>
      <c r="L21" t="s">
        <v>342</v>
      </c>
      <c r="M21" t="s">
        <v>92</v>
      </c>
      <c r="N21">
        <v>11</v>
      </c>
    </row>
    <row r="22" spans="1:14" x14ac:dyDescent="0.35">
      <c r="A22" t="s">
        <v>20</v>
      </c>
      <c r="B22">
        <v>5</v>
      </c>
      <c r="C22">
        <v>89</v>
      </c>
      <c r="D22" t="s">
        <v>59</v>
      </c>
      <c r="E22" t="s">
        <v>93</v>
      </c>
      <c r="F22" t="s">
        <v>129</v>
      </c>
      <c r="G22" t="s">
        <v>162</v>
      </c>
      <c r="H22" t="s">
        <v>199</v>
      </c>
      <c r="I22" t="s">
        <v>236</v>
      </c>
      <c r="J22" t="s">
        <v>274</v>
      </c>
      <c r="K22" t="s">
        <v>308</v>
      </c>
      <c r="L22" t="s">
        <v>343</v>
      </c>
      <c r="M22" t="s">
        <v>363</v>
      </c>
      <c r="N22">
        <v>5</v>
      </c>
    </row>
    <row r="23" spans="1:14" x14ac:dyDescent="0.35">
      <c r="A23" t="s">
        <v>21</v>
      </c>
      <c r="B23">
        <v>1</v>
      </c>
      <c r="C23">
        <v>5</v>
      </c>
      <c r="D23">
        <v>1</v>
      </c>
      <c r="E23">
        <v>0</v>
      </c>
      <c r="F23">
        <v>0</v>
      </c>
      <c r="G23">
        <v>1</v>
      </c>
      <c r="H23">
        <v>0</v>
      </c>
      <c r="I23" t="s">
        <v>237</v>
      </c>
      <c r="J23">
        <v>0</v>
      </c>
      <c r="L23" t="s">
        <v>344</v>
      </c>
      <c r="M23">
        <v>1</v>
      </c>
      <c r="N23">
        <v>1</v>
      </c>
    </row>
    <row r="24" spans="1:14" x14ac:dyDescent="0.35">
      <c r="A24" t="s">
        <v>22</v>
      </c>
      <c r="B24">
        <v>11</v>
      </c>
      <c r="C24">
        <v>198</v>
      </c>
      <c r="D24" t="s">
        <v>60</v>
      </c>
      <c r="E24" t="s">
        <v>94</v>
      </c>
      <c r="F24" t="s">
        <v>130</v>
      </c>
      <c r="G24" t="s">
        <v>163</v>
      </c>
      <c r="H24" t="s">
        <v>200</v>
      </c>
      <c r="I24" t="s">
        <v>238</v>
      </c>
      <c r="J24" t="s">
        <v>275</v>
      </c>
      <c r="K24" t="s">
        <v>309</v>
      </c>
      <c r="L24" t="s">
        <v>345</v>
      </c>
      <c r="M24" t="s">
        <v>375</v>
      </c>
      <c r="N24">
        <v>12</v>
      </c>
    </row>
    <row r="25" spans="1:14" x14ac:dyDescent="0.35">
      <c r="A25" t="s">
        <v>23</v>
      </c>
      <c r="B25">
        <v>14</v>
      </c>
      <c r="C25">
        <v>200</v>
      </c>
      <c r="D25" t="s">
        <v>61</v>
      </c>
      <c r="E25" t="s">
        <v>95</v>
      </c>
      <c r="F25" t="s">
        <v>112</v>
      </c>
      <c r="G25" t="s">
        <v>164</v>
      </c>
      <c r="H25" t="s">
        <v>201</v>
      </c>
      <c r="I25" t="s">
        <v>239</v>
      </c>
      <c r="J25" t="s">
        <v>276</v>
      </c>
      <c r="K25" t="s">
        <v>310</v>
      </c>
      <c r="L25" t="s">
        <v>346</v>
      </c>
      <c r="M25" t="s">
        <v>376</v>
      </c>
      <c r="N25" t="s">
        <v>395</v>
      </c>
    </row>
    <row r="26" spans="1:14" x14ac:dyDescent="0.35">
      <c r="A26" t="s">
        <v>24</v>
      </c>
      <c r="B26">
        <v>5</v>
      </c>
      <c r="C26">
        <v>87</v>
      </c>
      <c r="D26" t="s">
        <v>62</v>
      </c>
      <c r="E26" t="s">
        <v>96</v>
      </c>
      <c r="F26" t="s">
        <v>131</v>
      </c>
      <c r="G26" t="s">
        <v>165</v>
      </c>
      <c r="H26" t="s">
        <v>202</v>
      </c>
      <c r="I26" t="s">
        <v>240</v>
      </c>
      <c r="J26" t="s">
        <v>277</v>
      </c>
      <c r="K26" t="s">
        <v>311</v>
      </c>
      <c r="L26" t="s">
        <v>347</v>
      </c>
      <c r="M26" t="s">
        <v>377</v>
      </c>
      <c r="N26">
        <v>5</v>
      </c>
    </row>
    <row r="27" spans="1:14" x14ac:dyDescent="0.35">
      <c r="A27" t="s">
        <v>25</v>
      </c>
      <c r="B27">
        <v>18</v>
      </c>
      <c r="C27">
        <v>254</v>
      </c>
      <c r="D27" t="s">
        <v>63</v>
      </c>
      <c r="E27" t="s">
        <v>97</v>
      </c>
      <c r="F27" t="s">
        <v>132</v>
      </c>
      <c r="G27" t="s">
        <v>166</v>
      </c>
      <c r="H27" t="s">
        <v>203</v>
      </c>
      <c r="I27" t="s">
        <v>241</v>
      </c>
      <c r="J27" t="s">
        <v>278</v>
      </c>
      <c r="K27" t="s">
        <v>312</v>
      </c>
      <c r="L27" t="s">
        <v>348</v>
      </c>
      <c r="M27" t="s">
        <v>321</v>
      </c>
      <c r="N27" t="s">
        <v>396</v>
      </c>
    </row>
    <row r="28" spans="1:14" x14ac:dyDescent="0.35">
      <c r="A28" t="s">
        <v>26</v>
      </c>
      <c r="B28">
        <v>17</v>
      </c>
      <c r="C28">
        <v>926</v>
      </c>
      <c r="D28" t="s">
        <v>64</v>
      </c>
      <c r="E28" t="s">
        <v>98</v>
      </c>
      <c r="F28" t="s">
        <v>133</v>
      </c>
      <c r="G28" t="s">
        <v>167</v>
      </c>
      <c r="H28" t="s">
        <v>204</v>
      </c>
      <c r="I28" t="s">
        <v>242</v>
      </c>
      <c r="J28" t="s">
        <v>279</v>
      </c>
      <c r="K28" t="s">
        <v>313</v>
      </c>
      <c r="L28" t="s">
        <v>349</v>
      </c>
      <c r="M28" t="s">
        <v>378</v>
      </c>
      <c r="N28" t="s">
        <v>397</v>
      </c>
    </row>
    <row r="29" spans="1:14" x14ac:dyDescent="0.35">
      <c r="A29" t="s">
        <v>27</v>
      </c>
      <c r="B29">
        <v>9</v>
      </c>
      <c r="C29">
        <v>60</v>
      </c>
      <c r="D29" t="s">
        <v>65</v>
      </c>
      <c r="E29" t="s">
        <v>99</v>
      </c>
      <c r="F29" t="s">
        <v>134</v>
      </c>
      <c r="G29" t="s">
        <v>168</v>
      </c>
      <c r="H29" t="s">
        <v>205</v>
      </c>
      <c r="I29" t="s">
        <v>243</v>
      </c>
      <c r="J29" t="s">
        <v>280</v>
      </c>
      <c r="K29" t="s">
        <v>314</v>
      </c>
      <c r="L29" t="s">
        <v>350</v>
      </c>
      <c r="M29" t="s">
        <v>379</v>
      </c>
      <c r="N29">
        <v>12</v>
      </c>
    </row>
    <row r="30" spans="1:14" x14ac:dyDescent="0.35">
      <c r="A30" t="s">
        <v>28</v>
      </c>
      <c r="B30">
        <v>9</v>
      </c>
      <c r="C30">
        <v>77</v>
      </c>
      <c r="D30" t="s">
        <v>66</v>
      </c>
      <c r="E30" t="s">
        <v>100</v>
      </c>
      <c r="F30" t="s">
        <v>135</v>
      </c>
      <c r="G30" t="s">
        <v>169</v>
      </c>
      <c r="H30" t="s">
        <v>206</v>
      </c>
      <c r="I30" t="s">
        <v>244</v>
      </c>
      <c r="J30" t="s">
        <v>281</v>
      </c>
      <c r="K30" t="s">
        <v>315</v>
      </c>
      <c r="L30" t="s">
        <v>351</v>
      </c>
      <c r="M30" t="s">
        <v>380</v>
      </c>
      <c r="N30">
        <v>10</v>
      </c>
    </row>
    <row r="31" spans="1:14" x14ac:dyDescent="0.35">
      <c r="A31" t="s">
        <v>29</v>
      </c>
      <c r="B31">
        <v>20</v>
      </c>
      <c r="C31">
        <v>120</v>
      </c>
      <c r="D31" t="s">
        <v>67</v>
      </c>
      <c r="E31" t="s">
        <v>101</v>
      </c>
      <c r="F31" t="s">
        <v>136</v>
      </c>
      <c r="G31" t="s">
        <v>170</v>
      </c>
      <c r="H31" t="s">
        <v>207</v>
      </c>
      <c r="I31" t="s">
        <v>245</v>
      </c>
      <c r="J31" t="s">
        <v>282</v>
      </c>
      <c r="K31" t="s">
        <v>316</v>
      </c>
      <c r="L31" t="s">
        <v>352</v>
      </c>
      <c r="M31" t="s">
        <v>381</v>
      </c>
      <c r="N31" t="s">
        <v>398</v>
      </c>
    </row>
    <row r="32" spans="1:14" x14ac:dyDescent="0.35">
      <c r="A32" t="s">
        <v>30</v>
      </c>
      <c r="B32">
        <v>18</v>
      </c>
      <c r="C32">
        <v>122</v>
      </c>
      <c r="D32" t="s">
        <v>68</v>
      </c>
      <c r="E32" t="s">
        <v>102</v>
      </c>
      <c r="F32" t="s">
        <v>137</v>
      </c>
      <c r="G32" t="s">
        <v>171</v>
      </c>
      <c r="H32" t="s">
        <v>208</v>
      </c>
      <c r="I32" t="s">
        <v>246</v>
      </c>
      <c r="J32" t="s">
        <v>283</v>
      </c>
      <c r="K32" t="s">
        <v>317</v>
      </c>
      <c r="L32" t="s">
        <v>353</v>
      </c>
      <c r="M32" t="s">
        <v>382</v>
      </c>
      <c r="N32">
        <v>20</v>
      </c>
    </row>
    <row r="33" spans="1:14" x14ac:dyDescent="0.35">
      <c r="A33" t="s">
        <v>31</v>
      </c>
      <c r="B33">
        <v>13</v>
      </c>
      <c r="C33">
        <v>48</v>
      </c>
      <c r="D33" t="s">
        <v>69</v>
      </c>
      <c r="E33" t="s">
        <v>103</v>
      </c>
      <c r="F33" t="s">
        <v>138</v>
      </c>
      <c r="G33" t="s">
        <v>172</v>
      </c>
      <c r="H33" t="s">
        <v>209</v>
      </c>
      <c r="I33" t="s">
        <v>247</v>
      </c>
      <c r="J33" t="s">
        <v>284</v>
      </c>
      <c r="K33" t="s">
        <v>318</v>
      </c>
      <c r="L33" t="s">
        <v>354</v>
      </c>
      <c r="M33" t="s">
        <v>53</v>
      </c>
      <c r="N33">
        <v>18</v>
      </c>
    </row>
    <row r="34" spans="1:14" x14ac:dyDescent="0.35">
      <c r="A34" t="s">
        <v>32</v>
      </c>
      <c r="B34">
        <v>5</v>
      </c>
      <c r="C34">
        <v>32</v>
      </c>
      <c r="D34" t="s">
        <v>70</v>
      </c>
      <c r="E34" t="s">
        <v>104</v>
      </c>
      <c r="F34" t="s">
        <v>139</v>
      </c>
      <c r="G34" t="s">
        <v>173</v>
      </c>
      <c r="H34" t="s">
        <v>210</v>
      </c>
      <c r="I34" t="s">
        <v>248</v>
      </c>
      <c r="J34" t="s">
        <v>285</v>
      </c>
      <c r="K34" t="s">
        <v>319</v>
      </c>
      <c r="L34" t="s">
        <v>355</v>
      </c>
      <c r="M34" t="s">
        <v>383</v>
      </c>
      <c r="N34">
        <v>6</v>
      </c>
    </row>
    <row r="35" spans="1:14" x14ac:dyDescent="0.35">
      <c r="A35" t="s">
        <v>33</v>
      </c>
      <c r="B35">
        <v>23</v>
      </c>
      <c r="C35">
        <v>90</v>
      </c>
      <c r="D35" t="s">
        <v>71</v>
      </c>
      <c r="E35" t="s">
        <v>105</v>
      </c>
      <c r="F35" t="s">
        <v>140</v>
      </c>
      <c r="G35" t="s">
        <v>174</v>
      </c>
      <c r="H35" t="s">
        <v>211</v>
      </c>
      <c r="I35" t="s">
        <v>249</v>
      </c>
      <c r="J35" t="s">
        <v>286</v>
      </c>
      <c r="K35" t="s">
        <v>320</v>
      </c>
      <c r="L35" t="s">
        <v>356</v>
      </c>
      <c r="M35" t="s">
        <v>384</v>
      </c>
      <c r="N35" t="s">
        <v>399</v>
      </c>
    </row>
    <row r="36" spans="1:14" x14ac:dyDescent="0.35">
      <c r="A36" t="s">
        <v>34</v>
      </c>
      <c r="B36">
        <v>17</v>
      </c>
      <c r="C36">
        <v>153</v>
      </c>
      <c r="D36" t="s">
        <v>72</v>
      </c>
      <c r="E36" t="s">
        <v>106</v>
      </c>
      <c r="F36" t="s">
        <v>113</v>
      </c>
      <c r="G36" t="s">
        <v>175</v>
      </c>
      <c r="H36" t="s">
        <v>212</v>
      </c>
      <c r="I36" t="s">
        <v>250</v>
      </c>
      <c r="J36" t="s">
        <v>287</v>
      </c>
      <c r="K36" t="s">
        <v>321</v>
      </c>
      <c r="L36" t="s">
        <v>357</v>
      </c>
      <c r="M36" t="s">
        <v>385</v>
      </c>
      <c r="N36" t="s">
        <v>400</v>
      </c>
    </row>
    <row r="37" spans="1:14" x14ac:dyDescent="0.35">
      <c r="A37" t="s">
        <v>35</v>
      </c>
      <c r="B37">
        <v>3</v>
      </c>
      <c r="C37">
        <v>4</v>
      </c>
      <c r="D37" t="s">
        <v>73</v>
      </c>
      <c r="E37" t="s">
        <v>107</v>
      </c>
      <c r="F37" t="s">
        <v>141</v>
      </c>
      <c r="G37" t="s">
        <v>176</v>
      </c>
      <c r="H37" t="s">
        <v>213</v>
      </c>
      <c r="I37" t="s">
        <v>251</v>
      </c>
      <c r="J37" t="s">
        <v>268</v>
      </c>
      <c r="K37" t="s">
        <v>322</v>
      </c>
      <c r="L37" t="s">
        <v>358</v>
      </c>
      <c r="M37" t="s">
        <v>53</v>
      </c>
      <c r="N37" t="s">
        <v>401</v>
      </c>
    </row>
    <row r="38" spans="1:14" x14ac:dyDescent="0.35">
      <c r="A38" t="s">
        <v>36</v>
      </c>
      <c r="B38">
        <v>3</v>
      </c>
      <c r="C38">
        <v>14</v>
      </c>
      <c r="D38" t="s">
        <v>53</v>
      </c>
      <c r="E38" t="s">
        <v>53</v>
      </c>
      <c r="F38" t="s">
        <v>142</v>
      </c>
      <c r="G38" t="s">
        <v>177</v>
      </c>
      <c r="H38" t="s">
        <v>214</v>
      </c>
      <c r="I38" t="s">
        <v>252</v>
      </c>
      <c r="J38" t="s">
        <v>288</v>
      </c>
      <c r="K38" t="s">
        <v>323</v>
      </c>
      <c r="L38" t="s">
        <v>359</v>
      </c>
      <c r="M38" t="s">
        <v>386</v>
      </c>
      <c r="N3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5DBC-2D21-4CD3-BADA-2A499C08EDB9}">
  <dimension ref="A1:O38"/>
  <sheetViews>
    <sheetView topLeftCell="F22" workbookViewId="0">
      <selection sqref="A1:XFD1048576"/>
    </sheetView>
  </sheetViews>
  <sheetFormatPr defaultColWidth="7.1796875" defaultRowHeight="14.5" x14ac:dyDescent="0.35"/>
  <cols>
    <col min="1" max="2" width="7.36328125" bestFit="1" customWidth="1"/>
    <col min="3" max="3" width="6.453125" bestFit="1" customWidth="1"/>
    <col min="4" max="4" width="9.453125" bestFit="1" customWidth="1"/>
    <col min="5" max="5" width="12.1796875" bestFit="1" customWidth="1"/>
    <col min="6" max="6" width="11.54296875" bestFit="1" customWidth="1"/>
    <col min="7" max="7" width="10.08984375" bestFit="1" customWidth="1"/>
    <col min="8" max="8" width="14.453125" bestFit="1" customWidth="1"/>
    <col min="9" max="9" width="7.54296875" bestFit="1" customWidth="1"/>
    <col min="10" max="10" width="9.1796875" bestFit="1" customWidth="1"/>
    <col min="11" max="11" width="8" bestFit="1" customWidth="1"/>
    <col min="12" max="12" width="11.08984375" bestFit="1" customWidth="1"/>
    <col min="13" max="13" width="11.1796875" bestFit="1" customWidth="1"/>
    <col min="14" max="14" width="12.36328125" bestFit="1" customWidth="1"/>
    <col min="15" max="15" width="6.90625" bestFit="1" customWidth="1"/>
  </cols>
  <sheetData>
    <row r="1" spans="1:15" x14ac:dyDescent="0.35">
      <c r="A1" t="s">
        <v>402</v>
      </c>
      <c r="B1" t="s">
        <v>403</v>
      </c>
      <c r="C1" t="s">
        <v>37</v>
      </c>
      <c r="D1" t="s">
        <v>38</v>
      </c>
      <c r="E1" t="s">
        <v>39</v>
      </c>
      <c r="F1" t="s">
        <v>74</v>
      </c>
      <c r="G1" t="s">
        <v>108</v>
      </c>
      <c r="H1" t="s">
        <v>143</v>
      </c>
      <c r="I1" t="s">
        <v>178</v>
      </c>
      <c r="J1" t="s">
        <v>215</v>
      </c>
      <c r="K1" t="s">
        <v>253</v>
      </c>
      <c r="L1" t="s">
        <v>289</v>
      </c>
      <c r="M1" t="s">
        <v>324</v>
      </c>
      <c r="N1" t="s">
        <v>360</v>
      </c>
      <c r="O1" t="s">
        <v>387</v>
      </c>
    </row>
    <row r="2" spans="1:15" x14ac:dyDescent="0.35">
      <c r="A2">
        <v>1</v>
      </c>
      <c r="B2" t="s">
        <v>404</v>
      </c>
      <c r="C2">
        <v>13</v>
      </c>
      <c r="D2">
        <v>75</v>
      </c>
      <c r="E2" t="s">
        <v>40</v>
      </c>
      <c r="F2" t="s">
        <v>75</v>
      </c>
      <c r="G2" t="s">
        <v>109</v>
      </c>
      <c r="H2" t="s">
        <v>144</v>
      </c>
      <c r="I2" t="s">
        <v>179</v>
      </c>
      <c r="J2" t="s">
        <v>216</v>
      </c>
      <c r="K2" t="s">
        <v>254</v>
      </c>
      <c r="L2" t="s">
        <v>290</v>
      </c>
      <c r="M2" t="s">
        <v>325</v>
      </c>
      <c r="N2" t="s">
        <v>361</v>
      </c>
      <c r="O2" t="s">
        <v>388</v>
      </c>
    </row>
    <row r="3" spans="1:15" x14ac:dyDescent="0.35">
      <c r="A3">
        <v>1</v>
      </c>
      <c r="B3" t="s">
        <v>405</v>
      </c>
      <c r="C3">
        <v>20</v>
      </c>
      <c r="D3">
        <v>59</v>
      </c>
      <c r="E3" t="s">
        <v>41</v>
      </c>
      <c r="F3" t="s">
        <v>76</v>
      </c>
      <c r="G3" t="s">
        <v>110</v>
      </c>
      <c r="H3" t="s">
        <v>145</v>
      </c>
      <c r="I3" t="s">
        <v>180</v>
      </c>
      <c r="J3" t="s">
        <v>217</v>
      </c>
      <c r="K3" t="s">
        <v>255</v>
      </c>
      <c r="L3" t="s">
        <v>291</v>
      </c>
      <c r="M3" t="s">
        <v>326</v>
      </c>
      <c r="N3" t="s">
        <v>362</v>
      </c>
      <c r="O3" t="s">
        <v>389</v>
      </c>
    </row>
    <row r="4" spans="1:15" x14ac:dyDescent="0.35">
      <c r="A4">
        <v>1</v>
      </c>
      <c r="B4" t="s">
        <v>404</v>
      </c>
      <c r="C4">
        <v>13</v>
      </c>
      <c r="D4">
        <v>50</v>
      </c>
      <c r="E4" t="s">
        <v>44</v>
      </c>
      <c r="F4" t="s">
        <v>79</v>
      </c>
      <c r="G4" t="s">
        <v>113</v>
      </c>
      <c r="H4" t="s">
        <v>148</v>
      </c>
      <c r="I4" t="s">
        <v>183</v>
      </c>
      <c r="J4" t="s">
        <v>220</v>
      </c>
      <c r="K4" t="s">
        <v>258</v>
      </c>
      <c r="L4" t="s">
        <v>294</v>
      </c>
      <c r="M4" t="s">
        <v>329</v>
      </c>
      <c r="N4" t="s">
        <v>365</v>
      </c>
      <c r="O4">
        <v>27</v>
      </c>
    </row>
    <row r="5" spans="1:15" x14ac:dyDescent="0.35">
      <c r="A5">
        <v>1</v>
      </c>
      <c r="B5" t="s">
        <v>405</v>
      </c>
      <c r="C5">
        <v>19</v>
      </c>
      <c r="D5">
        <v>65</v>
      </c>
      <c r="E5" t="s">
        <v>45</v>
      </c>
      <c r="F5" t="s">
        <v>80</v>
      </c>
      <c r="G5" t="s">
        <v>114</v>
      </c>
      <c r="H5" t="s">
        <v>149</v>
      </c>
      <c r="I5" t="s">
        <v>184</v>
      </c>
      <c r="J5" t="s">
        <v>221</v>
      </c>
      <c r="K5" t="s">
        <v>259</v>
      </c>
      <c r="L5" t="s">
        <v>295</v>
      </c>
      <c r="M5" t="s">
        <v>330</v>
      </c>
      <c r="N5" t="s">
        <v>366</v>
      </c>
      <c r="O5">
        <v>34</v>
      </c>
    </row>
    <row r="6" spans="1:15" x14ac:dyDescent="0.35">
      <c r="A6">
        <v>1</v>
      </c>
      <c r="B6" t="s">
        <v>404</v>
      </c>
      <c r="C6">
        <v>9</v>
      </c>
      <c r="D6">
        <v>34</v>
      </c>
      <c r="E6" t="s">
        <v>47</v>
      </c>
      <c r="F6" t="s">
        <v>82</v>
      </c>
      <c r="G6" t="s">
        <v>116</v>
      </c>
      <c r="H6" t="s">
        <v>151</v>
      </c>
      <c r="I6" t="s">
        <v>186</v>
      </c>
      <c r="J6" t="s">
        <v>223</v>
      </c>
      <c r="K6" t="s">
        <v>261</v>
      </c>
      <c r="L6" t="s">
        <v>297</v>
      </c>
      <c r="M6" t="s">
        <v>332</v>
      </c>
      <c r="N6" t="s">
        <v>53</v>
      </c>
      <c r="O6">
        <v>12</v>
      </c>
    </row>
    <row r="7" spans="1:15" x14ac:dyDescent="0.35">
      <c r="A7">
        <v>1</v>
      </c>
      <c r="B7" t="s">
        <v>405</v>
      </c>
      <c r="C7">
        <v>3</v>
      </c>
      <c r="D7">
        <v>3</v>
      </c>
      <c r="E7" t="s">
        <v>48</v>
      </c>
      <c r="F7" t="s">
        <v>83</v>
      </c>
      <c r="G7" t="s">
        <v>117</v>
      </c>
      <c r="H7">
        <v>1</v>
      </c>
      <c r="I7" t="s">
        <v>187</v>
      </c>
      <c r="J7" t="s">
        <v>224</v>
      </c>
      <c r="K7" t="s">
        <v>262</v>
      </c>
      <c r="L7">
        <v>1</v>
      </c>
      <c r="M7">
        <v>0</v>
      </c>
      <c r="N7" t="s">
        <v>48</v>
      </c>
      <c r="O7">
        <v>6</v>
      </c>
    </row>
    <row r="8" spans="1:15" x14ac:dyDescent="0.35">
      <c r="A8">
        <v>1</v>
      </c>
      <c r="B8" t="s">
        <v>404</v>
      </c>
      <c r="C8">
        <v>16</v>
      </c>
      <c r="D8">
        <v>996</v>
      </c>
      <c r="E8" t="s">
        <v>50</v>
      </c>
      <c r="F8" t="s">
        <v>85</v>
      </c>
      <c r="G8" t="s">
        <v>120</v>
      </c>
      <c r="H8" t="s">
        <v>154</v>
      </c>
      <c r="I8" t="s">
        <v>190</v>
      </c>
      <c r="J8" t="s">
        <v>227</v>
      </c>
      <c r="K8" t="s">
        <v>265</v>
      </c>
      <c r="L8" t="s">
        <v>300</v>
      </c>
      <c r="M8" t="s">
        <v>335</v>
      </c>
      <c r="N8" t="s">
        <v>369</v>
      </c>
      <c r="O8" t="s">
        <v>392</v>
      </c>
    </row>
    <row r="9" spans="1:15" x14ac:dyDescent="0.35">
      <c r="A9">
        <v>1</v>
      </c>
      <c r="B9" t="s">
        <v>405</v>
      </c>
      <c r="C9">
        <v>12</v>
      </c>
      <c r="D9">
        <v>384</v>
      </c>
      <c r="E9" t="s">
        <v>51</v>
      </c>
      <c r="F9" t="s">
        <v>86</v>
      </c>
      <c r="G9" t="s">
        <v>121</v>
      </c>
      <c r="H9" t="s">
        <v>155</v>
      </c>
      <c r="I9" t="s">
        <v>191</v>
      </c>
      <c r="J9" t="s">
        <v>228</v>
      </c>
      <c r="K9" t="s">
        <v>266</v>
      </c>
      <c r="L9" t="s">
        <v>301</v>
      </c>
      <c r="M9" t="s">
        <v>336</v>
      </c>
      <c r="N9" t="s">
        <v>370</v>
      </c>
      <c r="O9">
        <v>33</v>
      </c>
    </row>
    <row r="10" spans="1:15" x14ac:dyDescent="0.35">
      <c r="A10">
        <v>1</v>
      </c>
      <c r="B10" t="s">
        <v>404</v>
      </c>
      <c r="C10">
        <v>12</v>
      </c>
      <c r="D10">
        <v>29</v>
      </c>
      <c r="E10" t="s">
        <v>54</v>
      </c>
      <c r="F10" t="s">
        <v>88</v>
      </c>
      <c r="G10" t="s">
        <v>124</v>
      </c>
      <c r="H10" t="s">
        <v>157</v>
      </c>
      <c r="I10" t="s">
        <v>194</v>
      </c>
      <c r="J10" t="s">
        <v>231</v>
      </c>
      <c r="K10" t="s">
        <v>269</v>
      </c>
      <c r="L10" t="s">
        <v>303</v>
      </c>
      <c r="M10" t="s">
        <v>338</v>
      </c>
      <c r="N10" t="s">
        <v>371</v>
      </c>
      <c r="O10">
        <v>14</v>
      </c>
    </row>
    <row r="11" spans="1:15" x14ac:dyDescent="0.35">
      <c r="A11">
        <v>1</v>
      </c>
      <c r="B11" t="s">
        <v>405</v>
      </c>
      <c r="C11">
        <v>17</v>
      </c>
      <c r="D11">
        <v>309</v>
      </c>
      <c r="E11" t="s">
        <v>55</v>
      </c>
      <c r="F11" t="s">
        <v>89</v>
      </c>
      <c r="G11" t="s">
        <v>125</v>
      </c>
      <c r="H11" t="s">
        <v>158</v>
      </c>
      <c r="I11" t="s">
        <v>195</v>
      </c>
      <c r="J11" t="s">
        <v>232</v>
      </c>
      <c r="K11" t="s">
        <v>270</v>
      </c>
      <c r="L11" t="s">
        <v>304</v>
      </c>
      <c r="M11" t="s">
        <v>339</v>
      </c>
      <c r="N11" t="s">
        <v>372</v>
      </c>
      <c r="O11" t="s">
        <v>393</v>
      </c>
    </row>
    <row r="12" spans="1:15" x14ac:dyDescent="0.35">
      <c r="A12">
        <v>1</v>
      </c>
      <c r="B12" t="s">
        <v>404</v>
      </c>
      <c r="C12">
        <v>11</v>
      </c>
      <c r="D12">
        <v>70</v>
      </c>
      <c r="E12" t="s">
        <v>57</v>
      </c>
      <c r="F12" t="s">
        <v>91</v>
      </c>
      <c r="G12" t="s">
        <v>127</v>
      </c>
      <c r="H12" t="s">
        <v>160</v>
      </c>
      <c r="I12" t="s">
        <v>197</v>
      </c>
      <c r="J12" t="s">
        <v>234</v>
      </c>
      <c r="K12" t="s">
        <v>272</v>
      </c>
      <c r="L12" t="s">
        <v>306</v>
      </c>
      <c r="M12" t="s">
        <v>341</v>
      </c>
      <c r="N12" t="s">
        <v>374</v>
      </c>
      <c r="O12" t="s">
        <v>394</v>
      </c>
    </row>
    <row r="13" spans="1:15" x14ac:dyDescent="0.35">
      <c r="A13">
        <v>1</v>
      </c>
      <c r="B13" t="s">
        <v>405</v>
      </c>
      <c r="C13">
        <v>5</v>
      </c>
      <c r="D13">
        <v>10</v>
      </c>
      <c r="E13" t="s">
        <v>58</v>
      </c>
      <c r="F13" t="s">
        <v>92</v>
      </c>
      <c r="G13" t="s">
        <v>128</v>
      </c>
      <c r="H13" t="s">
        <v>161</v>
      </c>
      <c r="I13" t="s">
        <v>198</v>
      </c>
      <c r="J13" t="s">
        <v>235</v>
      </c>
      <c r="K13" t="s">
        <v>273</v>
      </c>
      <c r="L13" t="s">
        <v>307</v>
      </c>
      <c r="M13" t="s">
        <v>342</v>
      </c>
      <c r="N13" t="s">
        <v>92</v>
      </c>
      <c r="O13">
        <v>11</v>
      </c>
    </row>
    <row r="14" spans="1:15" x14ac:dyDescent="0.35">
      <c r="A14">
        <v>1</v>
      </c>
      <c r="B14" t="s">
        <v>404</v>
      </c>
      <c r="C14">
        <v>11</v>
      </c>
      <c r="D14">
        <v>198</v>
      </c>
      <c r="E14" t="s">
        <v>60</v>
      </c>
      <c r="F14" t="s">
        <v>94</v>
      </c>
      <c r="G14" t="s">
        <v>130</v>
      </c>
      <c r="H14" t="s">
        <v>163</v>
      </c>
      <c r="I14" t="s">
        <v>200</v>
      </c>
      <c r="J14" t="s">
        <v>238</v>
      </c>
      <c r="K14" t="s">
        <v>275</v>
      </c>
      <c r="L14" t="s">
        <v>309</v>
      </c>
      <c r="M14" t="s">
        <v>345</v>
      </c>
      <c r="N14" t="s">
        <v>375</v>
      </c>
      <c r="O14">
        <v>12</v>
      </c>
    </row>
    <row r="15" spans="1:15" x14ac:dyDescent="0.35">
      <c r="A15">
        <v>1</v>
      </c>
      <c r="B15" t="s">
        <v>405</v>
      </c>
      <c r="C15">
        <v>14</v>
      </c>
      <c r="D15">
        <v>200</v>
      </c>
      <c r="E15" t="s">
        <v>61</v>
      </c>
      <c r="F15" t="s">
        <v>95</v>
      </c>
      <c r="G15" t="s">
        <v>112</v>
      </c>
      <c r="H15" t="s">
        <v>164</v>
      </c>
      <c r="I15" t="s">
        <v>201</v>
      </c>
      <c r="J15" t="s">
        <v>239</v>
      </c>
      <c r="K15" t="s">
        <v>276</v>
      </c>
      <c r="L15" t="s">
        <v>310</v>
      </c>
      <c r="M15" t="s">
        <v>346</v>
      </c>
      <c r="N15" t="s">
        <v>376</v>
      </c>
      <c r="O15" t="s">
        <v>395</v>
      </c>
    </row>
    <row r="16" spans="1:15" x14ac:dyDescent="0.35">
      <c r="A16">
        <v>1</v>
      </c>
      <c r="B16" t="s">
        <v>404</v>
      </c>
      <c r="C16">
        <v>18</v>
      </c>
      <c r="D16">
        <v>254</v>
      </c>
      <c r="E16" t="s">
        <v>63</v>
      </c>
      <c r="F16" t="s">
        <v>97</v>
      </c>
      <c r="G16" t="s">
        <v>132</v>
      </c>
      <c r="H16" t="s">
        <v>166</v>
      </c>
      <c r="I16" t="s">
        <v>203</v>
      </c>
      <c r="J16" t="s">
        <v>241</v>
      </c>
      <c r="K16" t="s">
        <v>278</v>
      </c>
      <c r="L16" t="s">
        <v>312</v>
      </c>
      <c r="M16" t="s">
        <v>348</v>
      </c>
      <c r="N16" t="s">
        <v>321</v>
      </c>
      <c r="O16" t="s">
        <v>396</v>
      </c>
    </row>
    <row r="17" spans="1:15" x14ac:dyDescent="0.35">
      <c r="A17">
        <v>1</v>
      </c>
      <c r="B17" t="s">
        <v>405</v>
      </c>
      <c r="C17">
        <v>17</v>
      </c>
      <c r="D17">
        <v>926</v>
      </c>
      <c r="E17" t="s">
        <v>64</v>
      </c>
      <c r="F17" t="s">
        <v>98</v>
      </c>
      <c r="G17" t="s">
        <v>133</v>
      </c>
      <c r="H17" t="s">
        <v>167</v>
      </c>
      <c r="I17" t="s">
        <v>204</v>
      </c>
      <c r="J17" t="s">
        <v>242</v>
      </c>
      <c r="K17" t="s">
        <v>279</v>
      </c>
      <c r="L17" t="s">
        <v>313</v>
      </c>
      <c r="M17" t="s">
        <v>349</v>
      </c>
      <c r="N17" t="s">
        <v>378</v>
      </c>
      <c r="O17" t="s">
        <v>397</v>
      </c>
    </row>
    <row r="18" spans="1:15" x14ac:dyDescent="0.35">
      <c r="A18">
        <v>1</v>
      </c>
      <c r="B18" t="s">
        <v>404</v>
      </c>
      <c r="C18">
        <v>20</v>
      </c>
      <c r="D18">
        <v>120</v>
      </c>
      <c r="E18" t="s">
        <v>67</v>
      </c>
      <c r="F18" t="s">
        <v>101</v>
      </c>
      <c r="G18" t="s">
        <v>136</v>
      </c>
      <c r="H18" t="s">
        <v>170</v>
      </c>
      <c r="I18" t="s">
        <v>207</v>
      </c>
      <c r="J18" t="s">
        <v>245</v>
      </c>
      <c r="K18" t="s">
        <v>282</v>
      </c>
      <c r="L18" t="s">
        <v>316</v>
      </c>
      <c r="M18" t="s">
        <v>352</v>
      </c>
      <c r="N18" t="s">
        <v>381</v>
      </c>
      <c r="O18" t="s">
        <v>398</v>
      </c>
    </row>
    <row r="19" spans="1:15" x14ac:dyDescent="0.35">
      <c r="A19">
        <v>1</v>
      </c>
      <c r="B19" t="s">
        <v>405</v>
      </c>
      <c r="C19">
        <v>18</v>
      </c>
      <c r="D19">
        <v>122</v>
      </c>
      <c r="E19" t="s">
        <v>68</v>
      </c>
      <c r="F19" t="s">
        <v>102</v>
      </c>
      <c r="G19" t="s">
        <v>137</v>
      </c>
      <c r="H19" t="s">
        <v>171</v>
      </c>
      <c r="I19" t="s">
        <v>208</v>
      </c>
      <c r="J19" t="s">
        <v>246</v>
      </c>
      <c r="K19" t="s">
        <v>283</v>
      </c>
      <c r="L19" t="s">
        <v>317</v>
      </c>
      <c r="M19" t="s">
        <v>353</v>
      </c>
      <c r="N19" t="s">
        <v>382</v>
      </c>
      <c r="O19">
        <v>20</v>
      </c>
    </row>
    <row r="20" spans="1:15" x14ac:dyDescent="0.35">
      <c r="A20">
        <v>1</v>
      </c>
      <c r="B20" t="s">
        <v>404</v>
      </c>
      <c r="C20">
        <v>23</v>
      </c>
      <c r="D20">
        <v>90</v>
      </c>
      <c r="E20" t="s">
        <v>71</v>
      </c>
      <c r="F20" t="s">
        <v>105</v>
      </c>
      <c r="G20" t="s">
        <v>140</v>
      </c>
      <c r="H20" t="s">
        <v>174</v>
      </c>
      <c r="I20" t="s">
        <v>211</v>
      </c>
      <c r="J20" t="s">
        <v>249</v>
      </c>
      <c r="K20" t="s">
        <v>286</v>
      </c>
      <c r="L20" t="s">
        <v>320</v>
      </c>
      <c r="M20" t="s">
        <v>356</v>
      </c>
      <c r="N20" t="s">
        <v>384</v>
      </c>
      <c r="O20" t="s">
        <v>399</v>
      </c>
    </row>
    <row r="21" spans="1:15" x14ac:dyDescent="0.35">
      <c r="A21">
        <v>1</v>
      </c>
      <c r="B21" t="s">
        <v>405</v>
      </c>
      <c r="C21">
        <v>17</v>
      </c>
      <c r="D21">
        <v>153</v>
      </c>
      <c r="E21" t="s">
        <v>72</v>
      </c>
      <c r="F21" t="s">
        <v>106</v>
      </c>
      <c r="G21" t="s">
        <v>113</v>
      </c>
      <c r="H21" t="s">
        <v>175</v>
      </c>
      <c r="I21" t="s">
        <v>212</v>
      </c>
      <c r="J21" t="s">
        <v>250</v>
      </c>
      <c r="K21" t="s">
        <v>287</v>
      </c>
      <c r="L21" t="s">
        <v>321</v>
      </c>
      <c r="M21" t="s">
        <v>357</v>
      </c>
      <c r="N21" t="s">
        <v>385</v>
      </c>
      <c r="O21" t="s">
        <v>400</v>
      </c>
    </row>
    <row r="22" spans="1:15" x14ac:dyDescent="0.35">
      <c r="A22">
        <v>2</v>
      </c>
      <c r="B22" t="s">
        <v>404</v>
      </c>
      <c r="C22">
        <v>15</v>
      </c>
      <c r="D22">
        <v>89</v>
      </c>
      <c r="E22" t="s">
        <v>42</v>
      </c>
      <c r="F22" t="s">
        <v>77</v>
      </c>
      <c r="G22" t="s">
        <v>111</v>
      </c>
      <c r="H22" t="s">
        <v>146</v>
      </c>
      <c r="I22" t="s">
        <v>181</v>
      </c>
      <c r="J22" t="s">
        <v>218</v>
      </c>
      <c r="K22" t="s">
        <v>256</v>
      </c>
      <c r="L22" t="s">
        <v>292</v>
      </c>
      <c r="M22" t="s">
        <v>327</v>
      </c>
      <c r="N22" t="s">
        <v>363</v>
      </c>
      <c r="O22" t="s">
        <v>390</v>
      </c>
    </row>
    <row r="23" spans="1:15" x14ac:dyDescent="0.35">
      <c r="A23">
        <v>2</v>
      </c>
      <c r="B23" t="s">
        <v>405</v>
      </c>
      <c r="C23">
        <v>5</v>
      </c>
      <c r="D23">
        <v>22</v>
      </c>
      <c r="E23" t="s">
        <v>43</v>
      </c>
      <c r="F23" t="s">
        <v>78</v>
      </c>
      <c r="G23" t="s">
        <v>112</v>
      </c>
      <c r="H23" t="s">
        <v>147</v>
      </c>
      <c r="I23" t="s">
        <v>182</v>
      </c>
      <c r="J23" t="s">
        <v>219</v>
      </c>
      <c r="K23" t="s">
        <v>257</v>
      </c>
      <c r="L23" t="s">
        <v>293</v>
      </c>
      <c r="M23" t="s">
        <v>328</v>
      </c>
      <c r="N23" t="s">
        <v>364</v>
      </c>
      <c r="O23">
        <v>8</v>
      </c>
    </row>
    <row r="24" spans="1:15" x14ac:dyDescent="0.35">
      <c r="A24">
        <v>2</v>
      </c>
      <c r="B24" t="s">
        <v>404</v>
      </c>
      <c r="C24">
        <v>5</v>
      </c>
      <c r="D24">
        <v>7</v>
      </c>
      <c r="E24" t="s">
        <v>46</v>
      </c>
      <c r="F24" t="s">
        <v>81</v>
      </c>
      <c r="G24" t="s">
        <v>115</v>
      </c>
      <c r="H24" t="s">
        <v>150</v>
      </c>
      <c r="I24" t="s">
        <v>185</v>
      </c>
      <c r="J24" t="s">
        <v>222</v>
      </c>
      <c r="K24" t="s">
        <v>260</v>
      </c>
      <c r="L24" t="s">
        <v>296</v>
      </c>
      <c r="M24" t="s">
        <v>331</v>
      </c>
      <c r="N24" t="s">
        <v>367</v>
      </c>
      <c r="O24">
        <v>6</v>
      </c>
    </row>
    <row r="25" spans="1:15" x14ac:dyDescent="0.35">
      <c r="A25">
        <v>2</v>
      </c>
      <c r="B25" t="s">
        <v>404</v>
      </c>
      <c r="C25">
        <v>4</v>
      </c>
      <c r="D25">
        <v>6</v>
      </c>
      <c r="E25" t="s">
        <v>48</v>
      </c>
      <c r="F25" t="s">
        <v>83</v>
      </c>
      <c r="G25" t="s">
        <v>118</v>
      </c>
      <c r="H25" t="s">
        <v>152</v>
      </c>
      <c r="I25" t="s">
        <v>188</v>
      </c>
      <c r="J25" t="s">
        <v>225</v>
      </c>
      <c r="K25" t="s">
        <v>263</v>
      </c>
      <c r="L25" t="s">
        <v>298</v>
      </c>
      <c r="M25" t="s">
        <v>333</v>
      </c>
      <c r="N25" t="s">
        <v>53</v>
      </c>
      <c r="O25">
        <v>7</v>
      </c>
    </row>
    <row r="26" spans="1:15" x14ac:dyDescent="0.35">
      <c r="A26">
        <v>2</v>
      </c>
      <c r="B26" t="s">
        <v>405</v>
      </c>
      <c r="C26">
        <v>7</v>
      </c>
      <c r="D26">
        <v>29</v>
      </c>
      <c r="E26" t="s">
        <v>49</v>
      </c>
      <c r="F26" t="s">
        <v>84</v>
      </c>
      <c r="G26" t="s">
        <v>119</v>
      </c>
      <c r="H26" t="s">
        <v>153</v>
      </c>
      <c r="I26" t="s">
        <v>189</v>
      </c>
      <c r="J26" t="s">
        <v>226</v>
      </c>
      <c r="K26" t="s">
        <v>264</v>
      </c>
      <c r="L26" t="s">
        <v>299</v>
      </c>
      <c r="M26" t="s">
        <v>334</v>
      </c>
      <c r="N26" t="s">
        <v>368</v>
      </c>
      <c r="O26" t="s">
        <v>391</v>
      </c>
    </row>
    <row r="27" spans="1:15" x14ac:dyDescent="0.35">
      <c r="A27">
        <v>2</v>
      </c>
      <c r="B27" t="s">
        <v>404</v>
      </c>
      <c r="C27">
        <v>4</v>
      </c>
      <c r="D27">
        <v>12</v>
      </c>
      <c r="E27" t="s">
        <v>52</v>
      </c>
      <c r="F27" t="s">
        <v>87</v>
      </c>
      <c r="G27" t="s">
        <v>122</v>
      </c>
      <c r="H27" t="s">
        <v>156</v>
      </c>
      <c r="I27" t="s">
        <v>192</v>
      </c>
      <c r="J27" t="s">
        <v>229</v>
      </c>
      <c r="K27" t="s">
        <v>267</v>
      </c>
      <c r="L27" t="s">
        <v>302</v>
      </c>
      <c r="M27" t="s">
        <v>337</v>
      </c>
      <c r="N27" t="s">
        <v>53</v>
      </c>
      <c r="O27">
        <v>4</v>
      </c>
    </row>
    <row r="28" spans="1:15" x14ac:dyDescent="0.35">
      <c r="A28">
        <v>2</v>
      </c>
      <c r="B28" t="s">
        <v>405</v>
      </c>
      <c r="C28">
        <v>2</v>
      </c>
      <c r="D28">
        <v>2</v>
      </c>
      <c r="E28" t="s">
        <v>53</v>
      </c>
      <c r="F28" t="s">
        <v>53</v>
      </c>
      <c r="G28" t="s">
        <v>123</v>
      </c>
      <c r="H28">
        <v>1</v>
      </c>
      <c r="I28" t="s">
        <v>193</v>
      </c>
      <c r="J28" t="s">
        <v>230</v>
      </c>
      <c r="K28" t="s">
        <v>268</v>
      </c>
      <c r="L28">
        <v>1</v>
      </c>
      <c r="M28">
        <v>0</v>
      </c>
      <c r="N28" t="s">
        <v>53</v>
      </c>
      <c r="O28">
        <v>3</v>
      </c>
    </row>
    <row r="29" spans="1:15" x14ac:dyDescent="0.35">
      <c r="A29">
        <v>2</v>
      </c>
      <c r="B29" t="s">
        <v>404</v>
      </c>
      <c r="C29">
        <v>4</v>
      </c>
      <c r="D29">
        <v>21</v>
      </c>
      <c r="E29" t="s">
        <v>56</v>
      </c>
      <c r="F29" t="s">
        <v>90</v>
      </c>
      <c r="G29" t="s">
        <v>126</v>
      </c>
      <c r="H29" t="s">
        <v>159</v>
      </c>
      <c r="I29" t="s">
        <v>196</v>
      </c>
      <c r="J29" t="s">
        <v>233</v>
      </c>
      <c r="K29" t="s">
        <v>271</v>
      </c>
      <c r="L29" t="s">
        <v>305</v>
      </c>
      <c r="M29" t="s">
        <v>340</v>
      </c>
      <c r="N29" t="s">
        <v>373</v>
      </c>
      <c r="O29">
        <v>5</v>
      </c>
    </row>
    <row r="30" spans="1:15" x14ac:dyDescent="0.35">
      <c r="A30">
        <v>2</v>
      </c>
      <c r="B30" t="s">
        <v>404</v>
      </c>
      <c r="C30">
        <v>5</v>
      </c>
      <c r="D30">
        <v>89</v>
      </c>
      <c r="E30" t="s">
        <v>59</v>
      </c>
      <c r="F30" t="s">
        <v>93</v>
      </c>
      <c r="G30" t="s">
        <v>129</v>
      </c>
      <c r="H30" t="s">
        <v>162</v>
      </c>
      <c r="I30" t="s">
        <v>199</v>
      </c>
      <c r="J30" t="s">
        <v>236</v>
      </c>
      <c r="K30" t="s">
        <v>274</v>
      </c>
      <c r="L30" t="s">
        <v>308</v>
      </c>
      <c r="M30" t="s">
        <v>343</v>
      </c>
      <c r="N30" t="s">
        <v>363</v>
      </c>
      <c r="O30">
        <v>5</v>
      </c>
    </row>
    <row r="31" spans="1:15" x14ac:dyDescent="0.35">
      <c r="A31">
        <v>2</v>
      </c>
      <c r="B31" t="s">
        <v>405</v>
      </c>
      <c r="C31">
        <v>1</v>
      </c>
      <c r="D31">
        <v>5</v>
      </c>
      <c r="E31">
        <v>1</v>
      </c>
      <c r="F31">
        <v>0</v>
      </c>
      <c r="G31">
        <v>0</v>
      </c>
      <c r="H31">
        <v>1</v>
      </c>
      <c r="I31">
        <v>0</v>
      </c>
      <c r="J31" t="s">
        <v>237</v>
      </c>
      <c r="K31">
        <v>0</v>
      </c>
      <c r="M31" t="s">
        <v>344</v>
      </c>
      <c r="N31">
        <v>1</v>
      </c>
      <c r="O31">
        <v>1</v>
      </c>
    </row>
    <row r="32" spans="1:15" x14ac:dyDescent="0.35">
      <c r="A32">
        <v>2</v>
      </c>
      <c r="B32" t="s">
        <v>404</v>
      </c>
      <c r="C32">
        <v>5</v>
      </c>
      <c r="D32">
        <v>87</v>
      </c>
      <c r="E32" t="s">
        <v>62</v>
      </c>
      <c r="F32" t="s">
        <v>96</v>
      </c>
      <c r="G32" t="s">
        <v>131</v>
      </c>
      <c r="H32" t="s">
        <v>165</v>
      </c>
      <c r="I32" t="s">
        <v>202</v>
      </c>
      <c r="J32" t="s">
        <v>240</v>
      </c>
      <c r="K32" t="s">
        <v>277</v>
      </c>
      <c r="L32" t="s">
        <v>311</v>
      </c>
      <c r="M32" t="s">
        <v>347</v>
      </c>
      <c r="N32" t="s">
        <v>377</v>
      </c>
      <c r="O32">
        <v>5</v>
      </c>
    </row>
    <row r="33" spans="1:15" x14ac:dyDescent="0.35">
      <c r="A33">
        <v>2</v>
      </c>
      <c r="B33" t="s">
        <v>404</v>
      </c>
      <c r="C33">
        <v>9</v>
      </c>
      <c r="D33">
        <v>60</v>
      </c>
      <c r="E33" t="s">
        <v>65</v>
      </c>
      <c r="F33" t="s">
        <v>99</v>
      </c>
      <c r="G33" t="s">
        <v>134</v>
      </c>
      <c r="H33" t="s">
        <v>168</v>
      </c>
      <c r="I33" t="s">
        <v>205</v>
      </c>
      <c r="J33" t="s">
        <v>243</v>
      </c>
      <c r="K33" t="s">
        <v>280</v>
      </c>
      <c r="L33" t="s">
        <v>314</v>
      </c>
      <c r="M33" t="s">
        <v>350</v>
      </c>
      <c r="N33" t="s">
        <v>379</v>
      </c>
      <c r="O33">
        <v>12</v>
      </c>
    </row>
    <row r="34" spans="1:15" x14ac:dyDescent="0.35">
      <c r="A34">
        <v>2</v>
      </c>
      <c r="B34" t="s">
        <v>405</v>
      </c>
      <c r="C34">
        <v>9</v>
      </c>
      <c r="D34">
        <v>77</v>
      </c>
      <c r="E34" t="s">
        <v>66</v>
      </c>
      <c r="F34" t="s">
        <v>100</v>
      </c>
      <c r="G34" t="s">
        <v>135</v>
      </c>
      <c r="H34" t="s">
        <v>169</v>
      </c>
      <c r="I34" t="s">
        <v>206</v>
      </c>
      <c r="J34" t="s">
        <v>244</v>
      </c>
      <c r="K34" t="s">
        <v>281</v>
      </c>
      <c r="L34" t="s">
        <v>315</v>
      </c>
      <c r="M34" t="s">
        <v>351</v>
      </c>
      <c r="N34" t="s">
        <v>380</v>
      </c>
      <c r="O34">
        <v>10</v>
      </c>
    </row>
    <row r="35" spans="1:15" x14ac:dyDescent="0.35">
      <c r="A35">
        <v>2</v>
      </c>
      <c r="B35" t="s">
        <v>404</v>
      </c>
      <c r="C35">
        <v>13</v>
      </c>
      <c r="D35">
        <v>48</v>
      </c>
      <c r="E35" t="s">
        <v>69</v>
      </c>
      <c r="F35" t="s">
        <v>103</v>
      </c>
      <c r="G35" t="s">
        <v>138</v>
      </c>
      <c r="H35" t="s">
        <v>172</v>
      </c>
      <c r="I35" t="s">
        <v>209</v>
      </c>
      <c r="J35" t="s">
        <v>247</v>
      </c>
      <c r="K35" t="s">
        <v>284</v>
      </c>
      <c r="L35" t="s">
        <v>318</v>
      </c>
      <c r="M35" t="s">
        <v>354</v>
      </c>
      <c r="N35" t="s">
        <v>53</v>
      </c>
      <c r="O35">
        <v>18</v>
      </c>
    </row>
    <row r="36" spans="1:15" x14ac:dyDescent="0.35">
      <c r="A36">
        <v>2</v>
      </c>
      <c r="B36" t="s">
        <v>405</v>
      </c>
      <c r="C36">
        <v>5</v>
      </c>
      <c r="D36">
        <v>32</v>
      </c>
      <c r="E36" t="s">
        <v>70</v>
      </c>
      <c r="F36" t="s">
        <v>104</v>
      </c>
      <c r="G36" t="s">
        <v>139</v>
      </c>
      <c r="H36" t="s">
        <v>173</v>
      </c>
      <c r="I36" t="s">
        <v>210</v>
      </c>
      <c r="J36" t="s">
        <v>248</v>
      </c>
      <c r="K36" t="s">
        <v>285</v>
      </c>
      <c r="L36" t="s">
        <v>319</v>
      </c>
      <c r="M36" t="s">
        <v>355</v>
      </c>
      <c r="N36" t="s">
        <v>383</v>
      </c>
      <c r="O36">
        <v>6</v>
      </c>
    </row>
    <row r="37" spans="1:15" x14ac:dyDescent="0.35">
      <c r="A37">
        <v>2</v>
      </c>
      <c r="B37" t="s">
        <v>404</v>
      </c>
      <c r="C37">
        <v>3</v>
      </c>
      <c r="D37">
        <v>4</v>
      </c>
      <c r="E37" t="s">
        <v>73</v>
      </c>
      <c r="F37" t="s">
        <v>107</v>
      </c>
      <c r="G37" t="s">
        <v>141</v>
      </c>
      <c r="H37" t="s">
        <v>176</v>
      </c>
      <c r="I37" t="s">
        <v>213</v>
      </c>
      <c r="J37" t="s">
        <v>251</v>
      </c>
      <c r="K37" t="s">
        <v>268</v>
      </c>
      <c r="L37" t="s">
        <v>322</v>
      </c>
      <c r="M37" t="s">
        <v>358</v>
      </c>
      <c r="N37" t="s">
        <v>53</v>
      </c>
      <c r="O37" t="s">
        <v>401</v>
      </c>
    </row>
    <row r="38" spans="1:15" x14ac:dyDescent="0.35">
      <c r="A38">
        <v>2</v>
      </c>
      <c r="B38" t="s">
        <v>405</v>
      </c>
      <c r="C38">
        <v>3</v>
      </c>
      <c r="D38">
        <v>14</v>
      </c>
      <c r="E38" t="s">
        <v>53</v>
      </c>
      <c r="F38" t="s">
        <v>53</v>
      </c>
      <c r="G38" t="s">
        <v>142</v>
      </c>
      <c r="H38" t="s">
        <v>177</v>
      </c>
      <c r="I38" t="s">
        <v>214</v>
      </c>
      <c r="J38" t="s">
        <v>252</v>
      </c>
      <c r="K38" t="s">
        <v>288</v>
      </c>
      <c r="L38" t="s">
        <v>323</v>
      </c>
      <c r="M38" t="s">
        <v>359</v>
      </c>
      <c r="N38" t="s">
        <v>386</v>
      </c>
      <c r="O38">
        <v>3</v>
      </c>
    </row>
  </sheetData>
  <sortState xmlns:xlrd2="http://schemas.microsoft.com/office/spreadsheetml/2017/richdata2" ref="A2:O38">
    <sortCondition ref="A2:A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34B0-74EA-435D-A86F-0E0843FCAB3A}">
  <dimension ref="A1:O38"/>
  <sheetViews>
    <sheetView workbookViewId="0">
      <selection sqref="A1:XFD1048576"/>
    </sheetView>
  </sheetViews>
  <sheetFormatPr defaultColWidth="7.1796875" defaultRowHeight="14.5" x14ac:dyDescent="0.35"/>
  <cols>
    <col min="1" max="1" width="6.90625" bestFit="1" customWidth="1"/>
    <col min="2" max="2" width="8.6328125" bestFit="1" customWidth="1"/>
    <col min="3" max="3" width="6.453125" style="1" bestFit="1" customWidth="1"/>
    <col min="4" max="4" width="9.453125" style="1" bestFit="1" customWidth="1"/>
    <col min="5" max="5" width="12.1796875" style="1" bestFit="1" customWidth="1"/>
    <col min="6" max="6" width="11.54296875" style="1" bestFit="1" customWidth="1"/>
    <col min="7" max="7" width="10.08984375" style="1" bestFit="1" customWidth="1"/>
    <col min="8" max="8" width="14.453125" style="1" bestFit="1" customWidth="1"/>
    <col min="9" max="9" width="7.54296875" bestFit="1" customWidth="1"/>
    <col min="10" max="10" width="9.1796875" bestFit="1" customWidth="1"/>
    <col min="11" max="11" width="8" style="1" bestFit="1" customWidth="1"/>
    <col min="12" max="12" width="11.08984375" bestFit="1" customWidth="1"/>
    <col min="13" max="13" width="11.1796875" bestFit="1" customWidth="1"/>
    <col min="14" max="14" width="12.36328125" bestFit="1" customWidth="1"/>
    <col min="15" max="15" width="6.90625" bestFit="1" customWidth="1"/>
  </cols>
  <sheetData>
    <row r="1" spans="1:15" x14ac:dyDescent="0.35">
      <c r="A1" t="s">
        <v>402</v>
      </c>
      <c r="B1" t="s">
        <v>403</v>
      </c>
      <c r="C1" s="1" t="s">
        <v>37</v>
      </c>
      <c r="D1" s="1" t="s">
        <v>38</v>
      </c>
      <c r="E1" s="1" t="s">
        <v>39</v>
      </c>
      <c r="F1" s="1" t="s">
        <v>74</v>
      </c>
      <c r="G1" s="1" t="s">
        <v>108</v>
      </c>
      <c r="H1" s="1" t="s">
        <v>143</v>
      </c>
      <c r="I1" t="s">
        <v>178</v>
      </c>
      <c r="J1" t="s">
        <v>215</v>
      </c>
      <c r="K1" s="1" t="s">
        <v>253</v>
      </c>
      <c r="L1" t="s">
        <v>289</v>
      </c>
      <c r="M1" t="s">
        <v>324</v>
      </c>
      <c r="N1" t="s">
        <v>360</v>
      </c>
      <c r="O1" t="s">
        <v>387</v>
      </c>
    </row>
    <row r="2" spans="1:15" x14ac:dyDescent="0.35">
      <c r="A2">
        <v>1</v>
      </c>
      <c r="B2" t="s">
        <v>405</v>
      </c>
      <c r="C2" s="1">
        <v>20</v>
      </c>
      <c r="D2" s="1">
        <v>59</v>
      </c>
      <c r="E2" s="1" t="s">
        <v>41</v>
      </c>
      <c r="F2" s="1" t="s">
        <v>76</v>
      </c>
      <c r="G2" s="1" t="s">
        <v>110</v>
      </c>
      <c r="H2" s="1" t="s">
        <v>145</v>
      </c>
      <c r="I2" t="s">
        <v>180</v>
      </c>
      <c r="J2" t="s">
        <v>217</v>
      </c>
      <c r="K2" s="1" t="s">
        <v>255</v>
      </c>
      <c r="L2" t="s">
        <v>291</v>
      </c>
      <c r="M2" t="s">
        <v>326</v>
      </c>
      <c r="N2" t="s">
        <v>362</v>
      </c>
      <c r="O2" t="s">
        <v>389</v>
      </c>
    </row>
    <row r="3" spans="1:15" x14ac:dyDescent="0.35">
      <c r="A3">
        <v>1</v>
      </c>
      <c r="B3" t="s">
        <v>405</v>
      </c>
      <c r="C3" s="1">
        <v>19</v>
      </c>
      <c r="D3" s="1">
        <v>65</v>
      </c>
      <c r="E3" s="1" t="s">
        <v>45</v>
      </c>
      <c r="F3" s="1" t="s">
        <v>80</v>
      </c>
      <c r="G3" s="1" t="s">
        <v>114</v>
      </c>
      <c r="H3" s="1" t="s">
        <v>149</v>
      </c>
      <c r="I3" t="s">
        <v>184</v>
      </c>
      <c r="J3" t="s">
        <v>221</v>
      </c>
      <c r="K3" s="1" t="s">
        <v>259</v>
      </c>
      <c r="L3" t="s">
        <v>295</v>
      </c>
      <c r="M3" t="s">
        <v>330</v>
      </c>
      <c r="N3" t="s">
        <v>366</v>
      </c>
      <c r="O3">
        <v>34</v>
      </c>
    </row>
    <row r="4" spans="1:15" x14ac:dyDescent="0.35">
      <c r="A4">
        <v>1</v>
      </c>
      <c r="B4" t="s">
        <v>405</v>
      </c>
      <c r="C4" s="1">
        <v>3</v>
      </c>
      <c r="D4" s="1">
        <v>3</v>
      </c>
      <c r="E4" s="1" t="s">
        <v>48</v>
      </c>
      <c r="F4" s="1" t="s">
        <v>83</v>
      </c>
      <c r="G4" s="1" t="s">
        <v>117</v>
      </c>
      <c r="H4" s="1">
        <v>1</v>
      </c>
      <c r="I4" t="s">
        <v>187</v>
      </c>
      <c r="J4" t="s">
        <v>224</v>
      </c>
      <c r="K4" s="1" t="s">
        <v>262</v>
      </c>
      <c r="L4">
        <v>1</v>
      </c>
      <c r="M4">
        <v>0</v>
      </c>
      <c r="N4" t="s">
        <v>48</v>
      </c>
      <c r="O4">
        <v>6</v>
      </c>
    </row>
    <row r="5" spans="1:15" x14ac:dyDescent="0.35">
      <c r="A5">
        <v>1</v>
      </c>
      <c r="B5" t="s">
        <v>405</v>
      </c>
      <c r="C5" s="1">
        <v>12</v>
      </c>
      <c r="D5" s="1">
        <v>384</v>
      </c>
      <c r="E5" s="1" t="s">
        <v>51</v>
      </c>
      <c r="F5" s="1" t="s">
        <v>86</v>
      </c>
      <c r="G5" s="1" t="s">
        <v>121</v>
      </c>
      <c r="H5" s="1" t="s">
        <v>155</v>
      </c>
      <c r="I5" t="s">
        <v>191</v>
      </c>
      <c r="J5" t="s">
        <v>228</v>
      </c>
      <c r="K5" s="1" t="s">
        <v>266</v>
      </c>
      <c r="L5" t="s">
        <v>301</v>
      </c>
      <c r="M5" t="s">
        <v>336</v>
      </c>
      <c r="N5" t="s">
        <v>370</v>
      </c>
      <c r="O5">
        <v>33</v>
      </c>
    </row>
    <row r="6" spans="1:15" x14ac:dyDescent="0.35">
      <c r="A6">
        <v>1</v>
      </c>
      <c r="B6" t="s">
        <v>405</v>
      </c>
      <c r="C6" s="1">
        <v>17</v>
      </c>
      <c r="D6" s="1">
        <v>309</v>
      </c>
      <c r="E6" s="1" t="s">
        <v>55</v>
      </c>
      <c r="F6" s="1" t="s">
        <v>89</v>
      </c>
      <c r="G6" s="1" t="s">
        <v>125</v>
      </c>
      <c r="H6" s="1" t="s">
        <v>158</v>
      </c>
      <c r="I6" t="s">
        <v>195</v>
      </c>
      <c r="J6" t="s">
        <v>232</v>
      </c>
      <c r="K6" s="1" t="s">
        <v>270</v>
      </c>
      <c r="L6" t="s">
        <v>304</v>
      </c>
      <c r="M6" t="s">
        <v>339</v>
      </c>
      <c r="N6" t="s">
        <v>372</v>
      </c>
      <c r="O6" t="s">
        <v>393</v>
      </c>
    </row>
    <row r="7" spans="1:15" x14ac:dyDescent="0.35">
      <c r="A7">
        <v>1</v>
      </c>
      <c r="B7" t="s">
        <v>405</v>
      </c>
      <c r="C7" s="1">
        <v>5</v>
      </c>
      <c r="D7" s="1">
        <v>10</v>
      </c>
      <c r="E7" s="1" t="s">
        <v>58</v>
      </c>
      <c r="F7" s="1" t="s">
        <v>92</v>
      </c>
      <c r="G7" s="1" t="s">
        <v>128</v>
      </c>
      <c r="H7" s="1" t="s">
        <v>161</v>
      </c>
      <c r="I7" t="s">
        <v>198</v>
      </c>
      <c r="J7" t="s">
        <v>235</v>
      </c>
      <c r="K7" s="1" t="s">
        <v>273</v>
      </c>
      <c r="L7" t="s">
        <v>307</v>
      </c>
      <c r="M7" t="s">
        <v>342</v>
      </c>
      <c r="N7" t="s">
        <v>92</v>
      </c>
      <c r="O7">
        <v>11</v>
      </c>
    </row>
    <row r="8" spans="1:15" x14ac:dyDescent="0.35">
      <c r="A8">
        <v>1</v>
      </c>
      <c r="B8" t="s">
        <v>405</v>
      </c>
      <c r="C8" s="1">
        <v>14</v>
      </c>
      <c r="D8" s="1">
        <v>200</v>
      </c>
      <c r="E8" s="1" t="s">
        <v>61</v>
      </c>
      <c r="F8" s="1" t="s">
        <v>95</v>
      </c>
      <c r="G8" s="1" t="s">
        <v>112</v>
      </c>
      <c r="H8" s="1" t="s">
        <v>164</v>
      </c>
      <c r="I8" t="s">
        <v>201</v>
      </c>
      <c r="J8" t="s">
        <v>239</v>
      </c>
      <c r="K8" s="1" t="s">
        <v>276</v>
      </c>
      <c r="L8" t="s">
        <v>310</v>
      </c>
      <c r="M8" t="s">
        <v>346</v>
      </c>
      <c r="N8" t="s">
        <v>376</v>
      </c>
      <c r="O8" t="s">
        <v>395</v>
      </c>
    </row>
    <row r="9" spans="1:15" x14ac:dyDescent="0.35">
      <c r="A9">
        <v>1</v>
      </c>
      <c r="B9" t="s">
        <v>405</v>
      </c>
      <c r="C9" s="1">
        <v>17</v>
      </c>
      <c r="D9" s="1">
        <v>926</v>
      </c>
      <c r="E9" s="1" t="s">
        <v>64</v>
      </c>
      <c r="F9" s="1" t="s">
        <v>98</v>
      </c>
      <c r="G9" s="1" t="s">
        <v>133</v>
      </c>
      <c r="H9" s="1" t="s">
        <v>167</v>
      </c>
      <c r="I9" t="s">
        <v>204</v>
      </c>
      <c r="J9" t="s">
        <v>242</v>
      </c>
      <c r="K9" s="1" t="s">
        <v>279</v>
      </c>
      <c r="L9" t="s">
        <v>313</v>
      </c>
      <c r="M9" t="s">
        <v>349</v>
      </c>
      <c r="N9" t="s">
        <v>378</v>
      </c>
      <c r="O9" t="s">
        <v>397</v>
      </c>
    </row>
    <row r="10" spans="1:15" x14ac:dyDescent="0.35">
      <c r="A10">
        <v>1</v>
      </c>
      <c r="B10" t="s">
        <v>405</v>
      </c>
      <c r="C10" s="1">
        <v>18</v>
      </c>
      <c r="D10" s="1">
        <v>122</v>
      </c>
      <c r="E10" s="1" t="s">
        <v>68</v>
      </c>
      <c r="F10" s="1" t="s">
        <v>102</v>
      </c>
      <c r="G10" s="1" t="s">
        <v>137</v>
      </c>
      <c r="H10" s="1" t="s">
        <v>171</v>
      </c>
      <c r="I10" t="s">
        <v>208</v>
      </c>
      <c r="J10" t="s">
        <v>246</v>
      </c>
      <c r="K10" s="1" t="s">
        <v>283</v>
      </c>
      <c r="L10" t="s">
        <v>317</v>
      </c>
      <c r="M10" t="s">
        <v>353</v>
      </c>
      <c r="N10" t="s">
        <v>382</v>
      </c>
      <c r="O10">
        <v>20</v>
      </c>
    </row>
    <row r="11" spans="1:15" x14ac:dyDescent="0.35">
      <c r="A11">
        <v>1</v>
      </c>
      <c r="B11" t="s">
        <v>405</v>
      </c>
      <c r="C11" s="1">
        <v>17</v>
      </c>
      <c r="D11" s="1">
        <v>153</v>
      </c>
      <c r="E11" s="1" t="s">
        <v>72</v>
      </c>
      <c r="F11" s="1" t="s">
        <v>106</v>
      </c>
      <c r="G11" s="1" t="s">
        <v>113</v>
      </c>
      <c r="H11" s="1" t="s">
        <v>175</v>
      </c>
      <c r="I11" t="s">
        <v>212</v>
      </c>
      <c r="J11" t="s">
        <v>250</v>
      </c>
      <c r="K11" s="1" t="s">
        <v>287</v>
      </c>
      <c r="L11" t="s">
        <v>321</v>
      </c>
      <c r="M11" t="s">
        <v>357</v>
      </c>
      <c r="N11" t="s">
        <v>385</v>
      </c>
      <c r="O11" t="s">
        <v>400</v>
      </c>
    </row>
    <row r="12" spans="1:15" x14ac:dyDescent="0.35">
      <c r="A12">
        <v>2</v>
      </c>
      <c r="B12" t="s">
        <v>405</v>
      </c>
      <c r="C12" s="1">
        <v>5</v>
      </c>
      <c r="D12" s="1">
        <v>22</v>
      </c>
      <c r="E12" s="1" t="s">
        <v>43</v>
      </c>
      <c r="F12" s="1" t="s">
        <v>78</v>
      </c>
      <c r="G12" s="1" t="s">
        <v>112</v>
      </c>
      <c r="H12" s="1" t="s">
        <v>147</v>
      </c>
      <c r="I12" t="s">
        <v>182</v>
      </c>
      <c r="J12" t="s">
        <v>219</v>
      </c>
      <c r="K12" s="1" t="s">
        <v>257</v>
      </c>
      <c r="L12" t="s">
        <v>293</v>
      </c>
      <c r="M12" t="s">
        <v>328</v>
      </c>
      <c r="N12" t="s">
        <v>364</v>
      </c>
      <c r="O12">
        <v>8</v>
      </c>
    </row>
    <row r="13" spans="1:15" x14ac:dyDescent="0.35">
      <c r="A13">
        <v>2</v>
      </c>
      <c r="B13" t="s">
        <v>405</v>
      </c>
      <c r="C13" s="1">
        <v>7</v>
      </c>
      <c r="D13" s="1">
        <v>29</v>
      </c>
      <c r="E13" s="1" t="s">
        <v>49</v>
      </c>
      <c r="F13" s="1" t="s">
        <v>84</v>
      </c>
      <c r="G13" s="1" t="s">
        <v>119</v>
      </c>
      <c r="H13" s="1" t="s">
        <v>153</v>
      </c>
      <c r="I13" t="s">
        <v>189</v>
      </c>
      <c r="J13" t="s">
        <v>226</v>
      </c>
      <c r="K13" s="1" t="s">
        <v>264</v>
      </c>
      <c r="L13" t="s">
        <v>299</v>
      </c>
      <c r="M13" t="s">
        <v>334</v>
      </c>
      <c r="N13" t="s">
        <v>368</v>
      </c>
      <c r="O13" t="s">
        <v>391</v>
      </c>
    </row>
    <row r="14" spans="1:15" x14ac:dyDescent="0.35">
      <c r="A14">
        <v>2</v>
      </c>
      <c r="B14" t="s">
        <v>405</v>
      </c>
      <c r="C14" s="1">
        <v>2</v>
      </c>
      <c r="D14" s="1">
        <v>2</v>
      </c>
      <c r="E14" s="1" t="s">
        <v>53</v>
      </c>
      <c r="F14" s="1" t="s">
        <v>53</v>
      </c>
      <c r="G14" s="1" t="s">
        <v>123</v>
      </c>
      <c r="H14" s="1">
        <v>1</v>
      </c>
      <c r="I14" t="s">
        <v>193</v>
      </c>
      <c r="J14" t="s">
        <v>230</v>
      </c>
      <c r="K14" s="1" t="s">
        <v>268</v>
      </c>
      <c r="L14">
        <v>1</v>
      </c>
      <c r="M14">
        <v>0</v>
      </c>
      <c r="N14" t="s">
        <v>53</v>
      </c>
      <c r="O14">
        <v>3</v>
      </c>
    </row>
    <row r="15" spans="1:15" x14ac:dyDescent="0.35">
      <c r="A15">
        <v>2</v>
      </c>
      <c r="B15" t="s">
        <v>405</v>
      </c>
      <c r="C15" s="1">
        <v>1</v>
      </c>
      <c r="D15" s="1">
        <v>5</v>
      </c>
      <c r="E15" s="1">
        <v>1</v>
      </c>
      <c r="F15" s="1">
        <v>0</v>
      </c>
      <c r="G15" s="1">
        <v>0</v>
      </c>
      <c r="H15" s="1">
        <v>1</v>
      </c>
      <c r="I15">
        <v>0</v>
      </c>
      <c r="J15" t="s">
        <v>237</v>
      </c>
      <c r="K15" s="1">
        <v>0</v>
      </c>
      <c r="M15" t="s">
        <v>344</v>
      </c>
      <c r="N15">
        <v>1</v>
      </c>
      <c r="O15">
        <v>1</v>
      </c>
    </row>
    <row r="16" spans="1:15" x14ac:dyDescent="0.35">
      <c r="A16">
        <v>2</v>
      </c>
      <c r="B16" t="s">
        <v>405</v>
      </c>
      <c r="C16" s="1">
        <v>9</v>
      </c>
      <c r="D16" s="1">
        <v>77</v>
      </c>
      <c r="E16" s="1" t="s">
        <v>66</v>
      </c>
      <c r="F16" s="1" t="s">
        <v>100</v>
      </c>
      <c r="G16" s="1" t="s">
        <v>135</v>
      </c>
      <c r="H16" s="1" t="s">
        <v>169</v>
      </c>
      <c r="I16" t="s">
        <v>206</v>
      </c>
      <c r="J16" t="s">
        <v>244</v>
      </c>
      <c r="K16" s="1" t="s">
        <v>281</v>
      </c>
      <c r="L16" t="s">
        <v>315</v>
      </c>
      <c r="M16" t="s">
        <v>351</v>
      </c>
      <c r="N16" t="s">
        <v>380</v>
      </c>
      <c r="O16">
        <v>10</v>
      </c>
    </row>
    <row r="17" spans="1:15" x14ac:dyDescent="0.35">
      <c r="A17">
        <v>2</v>
      </c>
      <c r="B17" t="s">
        <v>405</v>
      </c>
      <c r="C17" s="1">
        <v>5</v>
      </c>
      <c r="D17" s="1">
        <v>32</v>
      </c>
      <c r="E17" s="1" t="s">
        <v>70</v>
      </c>
      <c r="F17" s="1" t="s">
        <v>104</v>
      </c>
      <c r="G17" s="1" t="s">
        <v>139</v>
      </c>
      <c r="H17" s="1" t="s">
        <v>173</v>
      </c>
      <c r="I17" t="s">
        <v>210</v>
      </c>
      <c r="J17" t="s">
        <v>248</v>
      </c>
      <c r="K17" s="1" t="s">
        <v>285</v>
      </c>
      <c r="L17" t="s">
        <v>319</v>
      </c>
      <c r="M17" t="s">
        <v>355</v>
      </c>
      <c r="N17" t="s">
        <v>383</v>
      </c>
      <c r="O17">
        <v>6</v>
      </c>
    </row>
    <row r="18" spans="1:15" x14ac:dyDescent="0.35">
      <c r="A18">
        <v>2</v>
      </c>
      <c r="B18" t="s">
        <v>405</v>
      </c>
      <c r="C18" s="1">
        <v>3</v>
      </c>
      <c r="D18" s="1">
        <v>14</v>
      </c>
      <c r="E18" s="1" t="s">
        <v>53</v>
      </c>
      <c r="F18" s="1" t="s">
        <v>53</v>
      </c>
      <c r="G18" s="1" t="s">
        <v>142</v>
      </c>
      <c r="H18" s="1" t="s">
        <v>177</v>
      </c>
      <c r="I18" t="s">
        <v>214</v>
      </c>
      <c r="J18" t="s">
        <v>252</v>
      </c>
      <c r="K18" s="1" t="s">
        <v>288</v>
      </c>
      <c r="L18" t="s">
        <v>323</v>
      </c>
      <c r="M18" t="s">
        <v>359</v>
      </c>
      <c r="N18" t="s">
        <v>386</v>
      </c>
      <c r="O18">
        <v>3</v>
      </c>
    </row>
    <row r="19" spans="1:15" x14ac:dyDescent="0.35">
      <c r="A19">
        <v>1</v>
      </c>
      <c r="B19" t="s">
        <v>404</v>
      </c>
      <c r="C19" s="1">
        <v>13</v>
      </c>
      <c r="D19" s="1">
        <v>75</v>
      </c>
      <c r="E19" s="1" t="s">
        <v>40</v>
      </c>
      <c r="F19" s="1" t="s">
        <v>75</v>
      </c>
      <c r="G19" s="1" t="s">
        <v>109</v>
      </c>
      <c r="H19" s="1" t="s">
        <v>144</v>
      </c>
      <c r="I19" t="s">
        <v>179</v>
      </c>
      <c r="J19" t="s">
        <v>216</v>
      </c>
      <c r="K19" s="1" t="s">
        <v>254</v>
      </c>
      <c r="L19" t="s">
        <v>290</v>
      </c>
      <c r="M19" t="s">
        <v>325</v>
      </c>
      <c r="N19" t="s">
        <v>361</v>
      </c>
      <c r="O19" t="s">
        <v>388</v>
      </c>
    </row>
    <row r="20" spans="1:15" x14ac:dyDescent="0.35">
      <c r="A20">
        <v>1</v>
      </c>
      <c r="B20" t="s">
        <v>404</v>
      </c>
      <c r="C20" s="1">
        <v>13</v>
      </c>
      <c r="D20" s="1">
        <v>50</v>
      </c>
      <c r="E20" s="1" t="s">
        <v>44</v>
      </c>
      <c r="F20" s="1" t="s">
        <v>79</v>
      </c>
      <c r="G20" s="1" t="s">
        <v>113</v>
      </c>
      <c r="H20" s="1" t="s">
        <v>148</v>
      </c>
      <c r="I20" t="s">
        <v>183</v>
      </c>
      <c r="J20" t="s">
        <v>220</v>
      </c>
      <c r="K20" s="1" t="s">
        <v>258</v>
      </c>
      <c r="L20" t="s">
        <v>294</v>
      </c>
      <c r="M20" t="s">
        <v>329</v>
      </c>
      <c r="N20" t="s">
        <v>365</v>
      </c>
      <c r="O20">
        <v>27</v>
      </c>
    </row>
    <row r="21" spans="1:15" x14ac:dyDescent="0.35">
      <c r="A21">
        <v>1</v>
      </c>
      <c r="B21" t="s">
        <v>404</v>
      </c>
      <c r="C21" s="1">
        <v>9</v>
      </c>
      <c r="D21" s="1">
        <v>34</v>
      </c>
      <c r="E21" s="1" t="s">
        <v>47</v>
      </c>
      <c r="F21" s="1" t="s">
        <v>82</v>
      </c>
      <c r="G21" s="1" t="s">
        <v>116</v>
      </c>
      <c r="H21" s="1" t="s">
        <v>151</v>
      </c>
      <c r="I21" t="s">
        <v>186</v>
      </c>
      <c r="J21" t="s">
        <v>223</v>
      </c>
      <c r="K21" s="1" t="s">
        <v>261</v>
      </c>
      <c r="L21" t="s">
        <v>297</v>
      </c>
      <c r="M21" t="s">
        <v>332</v>
      </c>
      <c r="N21" t="s">
        <v>53</v>
      </c>
      <c r="O21">
        <v>12</v>
      </c>
    </row>
    <row r="22" spans="1:15" x14ac:dyDescent="0.35">
      <c r="A22">
        <v>1</v>
      </c>
      <c r="B22" t="s">
        <v>404</v>
      </c>
      <c r="C22" s="1">
        <v>16</v>
      </c>
      <c r="D22" s="1">
        <v>996</v>
      </c>
      <c r="E22" s="1" t="s">
        <v>50</v>
      </c>
      <c r="F22" s="1" t="s">
        <v>85</v>
      </c>
      <c r="G22" s="1" t="s">
        <v>120</v>
      </c>
      <c r="H22" s="1" t="s">
        <v>154</v>
      </c>
      <c r="I22" t="s">
        <v>190</v>
      </c>
      <c r="J22" t="s">
        <v>227</v>
      </c>
      <c r="K22" s="1" t="s">
        <v>265</v>
      </c>
      <c r="L22" t="s">
        <v>300</v>
      </c>
      <c r="M22" t="s">
        <v>335</v>
      </c>
      <c r="N22" t="s">
        <v>369</v>
      </c>
      <c r="O22" t="s">
        <v>392</v>
      </c>
    </row>
    <row r="23" spans="1:15" x14ac:dyDescent="0.35">
      <c r="A23">
        <v>1</v>
      </c>
      <c r="B23" t="s">
        <v>404</v>
      </c>
      <c r="C23" s="1">
        <v>12</v>
      </c>
      <c r="D23" s="1">
        <v>29</v>
      </c>
      <c r="E23" s="1" t="s">
        <v>54</v>
      </c>
      <c r="F23" s="1" t="s">
        <v>88</v>
      </c>
      <c r="G23" s="1" t="s">
        <v>124</v>
      </c>
      <c r="H23" s="1" t="s">
        <v>157</v>
      </c>
      <c r="I23" t="s">
        <v>194</v>
      </c>
      <c r="J23" t="s">
        <v>231</v>
      </c>
      <c r="K23" s="1" t="s">
        <v>269</v>
      </c>
      <c r="L23" t="s">
        <v>303</v>
      </c>
      <c r="M23" t="s">
        <v>338</v>
      </c>
      <c r="N23" t="s">
        <v>371</v>
      </c>
      <c r="O23">
        <v>14</v>
      </c>
    </row>
    <row r="24" spans="1:15" x14ac:dyDescent="0.35">
      <c r="A24">
        <v>1</v>
      </c>
      <c r="B24" t="s">
        <v>404</v>
      </c>
      <c r="C24" s="1">
        <v>11</v>
      </c>
      <c r="D24" s="1">
        <v>70</v>
      </c>
      <c r="E24" s="1" t="s">
        <v>57</v>
      </c>
      <c r="F24" s="1" t="s">
        <v>91</v>
      </c>
      <c r="G24" s="1" t="s">
        <v>127</v>
      </c>
      <c r="H24" s="1" t="s">
        <v>160</v>
      </c>
      <c r="I24" t="s">
        <v>197</v>
      </c>
      <c r="J24" t="s">
        <v>234</v>
      </c>
      <c r="K24" s="1" t="s">
        <v>272</v>
      </c>
      <c r="L24" t="s">
        <v>306</v>
      </c>
      <c r="M24" t="s">
        <v>341</v>
      </c>
      <c r="N24" t="s">
        <v>374</v>
      </c>
      <c r="O24" t="s">
        <v>394</v>
      </c>
    </row>
    <row r="25" spans="1:15" x14ac:dyDescent="0.35">
      <c r="A25">
        <v>1</v>
      </c>
      <c r="B25" t="s">
        <v>404</v>
      </c>
      <c r="C25" s="1">
        <v>11</v>
      </c>
      <c r="D25" s="1">
        <v>198</v>
      </c>
      <c r="E25" s="1" t="s">
        <v>60</v>
      </c>
      <c r="F25" s="1" t="s">
        <v>94</v>
      </c>
      <c r="G25" s="1" t="s">
        <v>130</v>
      </c>
      <c r="H25" s="1" t="s">
        <v>163</v>
      </c>
      <c r="I25" t="s">
        <v>200</v>
      </c>
      <c r="J25" t="s">
        <v>238</v>
      </c>
      <c r="K25" s="1" t="s">
        <v>275</v>
      </c>
      <c r="L25" t="s">
        <v>309</v>
      </c>
      <c r="M25" t="s">
        <v>345</v>
      </c>
      <c r="N25" t="s">
        <v>375</v>
      </c>
      <c r="O25">
        <v>12</v>
      </c>
    </row>
    <row r="26" spans="1:15" x14ac:dyDescent="0.35">
      <c r="A26">
        <v>1</v>
      </c>
      <c r="B26" t="s">
        <v>404</v>
      </c>
      <c r="C26" s="1">
        <v>18</v>
      </c>
      <c r="D26" s="1">
        <v>254</v>
      </c>
      <c r="E26" s="1" t="s">
        <v>63</v>
      </c>
      <c r="F26" s="1" t="s">
        <v>97</v>
      </c>
      <c r="G26" s="1" t="s">
        <v>132</v>
      </c>
      <c r="H26" s="1" t="s">
        <v>166</v>
      </c>
      <c r="I26" t="s">
        <v>203</v>
      </c>
      <c r="J26" t="s">
        <v>241</v>
      </c>
      <c r="K26" s="1" t="s">
        <v>278</v>
      </c>
      <c r="L26" t="s">
        <v>312</v>
      </c>
      <c r="M26" t="s">
        <v>348</v>
      </c>
      <c r="N26" t="s">
        <v>321</v>
      </c>
      <c r="O26" t="s">
        <v>396</v>
      </c>
    </row>
    <row r="27" spans="1:15" x14ac:dyDescent="0.35">
      <c r="A27">
        <v>1</v>
      </c>
      <c r="B27" t="s">
        <v>404</v>
      </c>
      <c r="C27" s="1">
        <v>20</v>
      </c>
      <c r="D27" s="1">
        <v>120</v>
      </c>
      <c r="E27" s="1" t="s">
        <v>67</v>
      </c>
      <c r="F27" s="1" t="s">
        <v>101</v>
      </c>
      <c r="G27" s="1" t="s">
        <v>136</v>
      </c>
      <c r="H27" s="1" t="s">
        <v>170</v>
      </c>
      <c r="I27" t="s">
        <v>207</v>
      </c>
      <c r="J27" t="s">
        <v>245</v>
      </c>
      <c r="K27" s="1" t="s">
        <v>282</v>
      </c>
      <c r="L27" t="s">
        <v>316</v>
      </c>
      <c r="M27" t="s">
        <v>352</v>
      </c>
      <c r="N27" t="s">
        <v>381</v>
      </c>
      <c r="O27" t="s">
        <v>398</v>
      </c>
    </row>
    <row r="28" spans="1:15" x14ac:dyDescent="0.35">
      <c r="A28">
        <v>1</v>
      </c>
      <c r="B28" t="s">
        <v>404</v>
      </c>
      <c r="C28" s="1">
        <v>23</v>
      </c>
      <c r="D28" s="1">
        <v>90</v>
      </c>
      <c r="E28" s="1" t="s">
        <v>71</v>
      </c>
      <c r="F28" s="1" t="s">
        <v>105</v>
      </c>
      <c r="G28" s="1" t="s">
        <v>140</v>
      </c>
      <c r="H28" s="1" t="s">
        <v>174</v>
      </c>
      <c r="I28" t="s">
        <v>211</v>
      </c>
      <c r="J28" t="s">
        <v>249</v>
      </c>
      <c r="K28" s="1" t="s">
        <v>286</v>
      </c>
      <c r="L28" t="s">
        <v>320</v>
      </c>
      <c r="M28" t="s">
        <v>356</v>
      </c>
      <c r="N28" t="s">
        <v>384</v>
      </c>
      <c r="O28" t="s">
        <v>399</v>
      </c>
    </row>
    <row r="29" spans="1:15" x14ac:dyDescent="0.35">
      <c r="A29">
        <v>2</v>
      </c>
      <c r="B29" t="s">
        <v>404</v>
      </c>
      <c r="C29" s="1">
        <v>15</v>
      </c>
      <c r="D29" s="1">
        <v>89</v>
      </c>
      <c r="E29" s="1" t="s">
        <v>42</v>
      </c>
      <c r="F29" s="1" t="s">
        <v>77</v>
      </c>
      <c r="G29" s="1" t="s">
        <v>111</v>
      </c>
      <c r="H29" s="1" t="s">
        <v>146</v>
      </c>
      <c r="I29" t="s">
        <v>181</v>
      </c>
      <c r="J29" t="s">
        <v>218</v>
      </c>
      <c r="K29" s="1" t="s">
        <v>256</v>
      </c>
      <c r="L29" t="s">
        <v>292</v>
      </c>
      <c r="M29" t="s">
        <v>327</v>
      </c>
      <c r="N29" t="s">
        <v>363</v>
      </c>
      <c r="O29" t="s">
        <v>390</v>
      </c>
    </row>
    <row r="30" spans="1:15" x14ac:dyDescent="0.35">
      <c r="A30">
        <v>2</v>
      </c>
      <c r="B30" t="s">
        <v>404</v>
      </c>
      <c r="C30" s="1">
        <v>5</v>
      </c>
      <c r="D30" s="1">
        <v>7</v>
      </c>
      <c r="E30" s="1" t="s">
        <v>46</v>
      </c>
      <c r="F30" s="1" t="s">
        <v>81</v>
      </c>
      <c r="G30" s="1" t="s">
        <v>115</v>
      </c>
      <c r="H30" s="1" t="s">
        <v>150</v>
      </c>
      <c r="I30" t="s">
        <v>185</v>
      </c>
      <c r="J30" t="s">
        <v>222</v>
      </c>
      <c r="K30" s="1" t="s">
        <v>260</v>
      </c>
      <c r="L30" t="s">
        <v>296</v>
      </c>
      <c r="M30" t="s">
        <v>331</v>
      </c>
      <c r="N30" t="s">
        <v>367</v>
      </c>
      <c r="O30">
        <v>6</v>
      </c>
    </row>
    <row r="31" spans="1:15" x14ac:dyDescent="0.35">
      <c r="A31">
        <v>2</v>
      </c>
      <c r="B31" t="s">
        <v>404</v>
      </c>
      <c r="C31" s="1">
        <v>4</v>
      </c>
      <c r="D31" s="1">
        <v>6</v>
      </c>
      <c r="E31" s="1" t="s">
        <v>48</v>
      </c>
      <c r="F31" s="1" t="s">
        <v>83</v>
      </c>
      <c r="G31" s="1" t="s">
        <v>118</v>
      </c>
      <c r="H31" s="1" t="s">
        <v>152</v>
      </c>
      <c r="I31" t="s">
        <v>188</v>
      </c>
      <c r="J31" t="s">
        <v>225</v>
      </c>
      <c r="K31" s="1" t="s">
        <v>263</v>
      </c>
      <c r="L31" t="s">
        <v>298</v>
      </c>
      <c r="M31" t="s">
        <v>333</v>
      </c>
      <c r="N31" t="s">
        <v>53</v>
      </c>
      <c r="O31">
        <v>7</v>
      </c>
    </row>
    <row r="32" spans="1:15" x14ac:dyDescent="0.35">
      <c r="A32">
        <v>2</v>
      </c>
      <c r="B32" t="s">
        <v>404</v>
      </c>
      <c r="C32" s="1">
        <v>4</v>
      </c>
      <c r="D32" s="1">
        <v>12</v>
      </c>
      <c r="E32" s="1" t="s">
        <v>52</v>
      </c>
      <c r="F32" s="1" t="s">
        <v>87</v>
      </c>
      <c r="G32" s="1" t="s">
        <v>122</v>
      </c>
      <c r="H32" s="1" t="s">
        <v>156</v>
      </c>
      <c r="I32" t="s">
        <v>192</v>
      </c>
      <c r="J32" t="s">
        <v>229</v>
      </c>
      <c r="K32" s="1" t="s">
        <v>267</v>
      </c>
      <c r="L32" t="s">
        <v>302</v>
      </c>
      <c r="M32" t="s">
        <v>337</v>
      </c>
      <c r="N32" t="s">
        <v>53</v>
      </c>
      <c r="O32">
        <v>4</v>
      </c>
    </row>
    <row r="33" spans="1:15" x14ac:dyDescent="0.35">
      <c r="A33">
        <v>2</v>
      </c>
      <c r="B33" t="s">
        <v>404</v>
      </c>
      <c r="C33" s="1">
        <v>4</v>
      </c>
      <c r="D33" s="1">
        <v>21</v>
      </c>
      <c r="E33" s="1" t="s">
        <v>56</v>
      </c>
      <c r="F33" s="1" t="s">
        <v>90</v>
      </c>
      <c r="G33" s="1" t="s">
        <v>126</v>
      </c>
      <c r="H33" s="1" t="s">
        <v>159</v>
      </c>
      <c r="I33" t="s">
        <v>196</v>
      </c>
      <c r="J33" t="s">
        <v>233</v>
      </c>
      <c r="K33" s="1" t="s">
        <v>271</v>
      </c>
      <c r="L33" t="s">
        <v>305</v>
      </c>
      <c r="M33" t="s">
        <v>340</v>
      </c>
      <c r="N33" t="s">
        <v>373</v>
      </c>
      <c r="O33">
        <v>5</v>
      </c>
    </row>
    <row r="34" spans="1:15" x14ac:dyDescent="0.35">
      <c r="A34">
        <v>2</v>
      </c>
      <c r="B34" t="s">
        <v>404</v>
      </c>
      <c r="C34" s="1">
        <v>5</v>
      </c>
      <c r="D34" s="1">
        <v>89</v>
      </c>
      <c r="E34" s="1" t="s">
        <v>59</v>
      </c>
      <c r="F34" s="1" t="s">
        <v>93</v>
      </c>
      <c r="G34" s="1" t="s">
        <v>129</v>
      </c>
      <c r="H34" s="1" t="s">
        <v>162</v>
      </c>
      <c r="I34" t="s">
        <v>199</v>
      </c>
      <c r="J34" t="s">
        <v>236</v>
      </c>
      <c r="K34" s="1" t="s">
        <v>274</v>
      </c>
      <c r="L34" t="s">
        <v>308</v>
      </c>
      <c r="M34" t="s">
        <v>343</v>
      </c>
      <c r="N34" t="s">
        <v>363</v>
      </c>
      <c r="O34">
        <v>5</v>
      </c>
    </row>
    <row r="35" spans="1:15" x14ac:dyDescent="0.35">
      <c r="A35">
        <v>2</v>
      </c>
      <c r="B35" t="s">
        <v>404</v>
      </c>
      <c r="C35" s="1">
        <v>5</v>
      </c>
      <c r="D35" s="1">
        <v>87</v>
      </c>
      <c r="E35" s="1" t="s">
        <v>62</v>
      </c>
      <c r="F35" s="1" t="s">
        <v>96</v>
      </c>
      <c r="G35" s="1" t="s">
        <v>131</v>
      </c>
      <c r="H35" s="1" t="s">
        <v>165</v>
      </c>
      <c r="I35" t="s">
        <v>202</v>
      </c>
      <c r="J35" t="s">
        <v>240</v>
      </c>
      <c r="K35" s="1" t="s">
        <v>277</v>
      </c>
      <c r="L35" t="s">
        <v>311</v>
      </c>
      <c r="M35" t="s">
        <v>347</v>
      </c>
      <c r="N35" t="s">
        <v>377</v>
      </c>
      <c r="O35">
        <v>5</v>
      </c>
    </row>
    <row r="36" spans="1:15" x14ac:dyDescent="0.35">
      <c r="A36">
        <v>2</v>
      </c>
      <c r="B36" t="s">
        <v>404</v>
      </c>
      <c r="C36" s="1">
        <v>9</v>
      </c>
      <c r="D36" s="1">
        <v>60</v>
      </c>
      <c r="E36" s="1" t="s">
        <v>65</v>
      </c>
      <c r="F36" s="1" t="s">
        <v>99</v>
      </c>
      <c r="G36" s="1" t="s">
        <v>134</v>
      </c>
      <c r="H36" s="1" t="s">
        <v>168</v>
      </c>
      <c r="I36" t="s">
        <v>205</v>
      </c>
      <c r="J36" t="s">
        <v>243</v>
      </c>
      <c r="K36" s="1" t="s">
        <v>280</v>
      </c>
      <c r="L36" t="s">
        <v>314</v>
      </c>
      <c r="M36" t="s">
        <v>350</v>
      </c>
      <c r="N36" t="s">
        <v>379</v>
      </c>
      <c r="O36">
        <v>12</v>
      </c>
    </row>
    <row r="37" spans="1:15" x14ac:dyDescent="0.35">
      <c r="A37">
        <v>2</v>
      </c>
      <c r="B37" t="s">
        <v>404</v>
      </c>
      <c r="C37" s="1">
        <v>13</v>
      </c>
      <c r="D37" s="1">
        <v>48</v>
      </c>
      <c r="E37" s="1" t="s">
        <v>69</v>
      </c>
      <c r="F37" s="1" t="s">
        <v>103</v>
      </c>
      <c r="G37" s="1" t="s">
        <v>138</v>
      </c>
      <c r="H37" s="1" t="s">
        <v>172</v>
      </c>
      <c r="I37" t="s">
        <v>209</v>
      </c>
      <c r="J37" t="s">
        <v>247</v>
      </c>
      <c r="K37" s="1" t="s">
        <v>284</v>
      </c>
      <c r="L37" t="s">
        <v>318</v>
      </c>
      <c r="M37" t="s">
        <v>354</v>
      </c>
      <c r="N37" t="s">
        <v>53</v>
      </c>
      <c r="O37">
        <v>18</v>
      </c>
    </row>
    <row r="38" spans="1:15" x14ac:dyDescent="0.35">
      <c r="A38">
        <v>2</v>
      </c>
      <c r="B38" t="s">
        <v>404</v>
      </c>
      <c r="C38" s="1">
        <v>3</v>
      </c>
      <c r="D38" s="1">
        <v>4</v>
      </c>
      <c r="E38" s="1" t="s">
        <v>73</v>
      </c>
      <c r="F38" s="1" t="s">
        <v>107</v>
      </c>
      <c r="G38" s="1" t="s">
        <v>141</v>
      </c>
      <c r="H38" s="1" t="s">
        <v>176</v>
      </c>
      <c r="I38" t="s">
        <v>213</v>
      </c>
      <c r="J38" t="s">
        <v>251</v>
      </c>
      <c r="K38" s="1" t="s">
        <v>268</v>
      </c>
      <c r="L38" t="s">
        <v>322</v>
      </c>
      <c r="M38" t="s">
        <v>358</v>
      </c>
      <c r="N38" t="s">
        <v>53</v>
      </c>
      <c r="O38" t="s">
        <v>401</v>
      </c>
    </row>
  </sheetData>
  <sortState xmlns:xlrd2="http://schemas.microsoft.com/office/spreadsheetml/2017/richdata2" ref="A2:O39">
    <sortCondition ref="B2:B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502A-7E9A-4B66-8FEA-9835225DA452}">
  <dimension ref="A1:L31"/>
  <sheetViews>
    <sheetView workbookViewId="0">
      <selection activeCell="B31" sqref="B31:K31"/>
    </sheetView>
  </sheetViews>
  <sheetFormatPr defaultColWidth="12.6328125" defaultRowHeight="14.5" x14ac:dyDescent="0.35"/>
  <sheetData>
    <row r="1" spans="1:12" x14ac:dyDescent="0.35">
      <c r="A1" s="8" t="s">
        <v>402</v>
      </c>
      <c r="B1" s="9" t="s">
        <v>1066</v>
      </c>
      <c r="C1" s="11" t="s">
        <v>497</v>
      </c>
      <c r="D1" s="9" t="s">
        <v>1067</v>
      </c>
      <c r="E1" s="11" t="s">
        <v>498</v>
      </c>
      <c r="F1" s="9" t="s">
        <v>1068</v>
      </c>
      <c r="G1" s="11" t="s">
        <v>499</v>
      </c>
      <c r="H1" s="9" t="s">
        <v>1069</v>
      </c>
      <c r="I1" s="11" t="s">
        <v>500</v>
      </c>
      <c r="J1" s="9" t="s">
        <v>1070</v>
      </c>
      <c r="K1" s="11" t="s">
        <v>1071</v>
      </c>
    </row>
    <row r="2" spans="1:12" x14ac:dyDescent="0.35">
      <c r="A2">
        <v>1</v>
      </c>
      <c r="B2" s="7">
        <v>20</v>
      </c>
      <c r="C2" s="1">
        <v>13</v>
      </c>
      <c r="D2" s="7">
        <v>59</v>
      </c>
      <c r="E2" s="1">
        <v>75</v>
      </c>
      <c r="F2" s="7" t="s">
        <v>76</v>
      </c>
      <c r="G2" s="1" t="s">
        <v>75</v>
      </c>
      <c r="H2" s="10">
        <v>2.1040000000000001</v>
      </c>
      <c r="I2" s="1" t="s">
        <v>109</v>
      </c>
      <c r="J2" s="7" t="s">
        <v>145</v>
      </c>
      <c r="K2" s="1" t="s">
        <v>144</v>
      </c>
    </row>
    <row r="3" spans="1:12" x14ac:dyDescent="0.35">
      <c r="A3">
        <v>1</v>
      </c>
      <c r="B3" s="7">
        <v>19</v>
      </c>
      <c r="C3" s="1">
        <v>13</v>
      </c>
      <c r="D3" s="7">
        <v>65</v>
      </c>
      <c r="E3" s="1">
        <v>50</v>
      </c>
      <c r="F3" s="7" t="s">
        <v>80</v>
      </c>
      <c r="G3" s="1" t="s">
        <v>79</v>
      </c>
      <c r="H3" s="10">
        <v>2.4279999999999999</v>
      </c>
      <c r="I3" s="1" t="s">
        <v>113</v>
      </c>
      <c r="J3" s="7" t="s">
        <v>149</v>
      </c>
      <c r="K3" s="1" t="s">
        <v>148</v>
      </c>
      <c r="L3" s="1" t="s">
        <v>1073</v>
      </c>
    </row>
    <row r="4" spans="1:12" x14ac:dyDescent="0.35">
      <c r="A4">
        <v>1</v>
      </c>
      <c r="B4" s="7">
        <v>3</v>
      </c>
      <c r="C4" s="1">
        <v>9</v>
      </c>
      <c r="D4" s="7">
        <v>3</v>
      </c>
      <c r="E4" s="1">
        <v>34</v>
      </c>
      <c r="F4" s="7" t="s">
        <v>83</v>
      </c>
      <c r="G4" s="1" t="s">
        <v>82</v>
      </c>
      <c r="H4" s="10">
        <v>1.099</v>
      </c>
      <c r="I4" s="1" t="s">
        <v>116</v>
      </c>
      <c r="J4" s="7">
        <v>1</v>
      </c>
      <c r="K4" s="1" t="s">
        <v>151</v>
      </c>
    </row>
    <row r="5" spans="1:12" x14ac:dyDescent="0.35">
      <c r="A5">
        <v>1</v>
      </c>
      <c r="B5" s="7">
        <v>12</v>
      </c>
      <c r="C5" s="1">
        <v>16</v>
      </c>
      <c r="D5" s="7">
        <v>384</v>
      </c>
      <c r="E5" s="1">
        <v>996</v>
      </c>
      <c r="F5" s="7" t="s">
        <v>86</v>
      </c>
      <c r="G5" s="1" t="s">
        <v>85</v>
      </c>
      <c r="H5" s="10">
        <v>0.74790000000000001</v>
      </c>
      <c r="I5" s="1" t="s">
        <v>120</v>
      </c>
      <c r="J5" s="7" t="s">
        <v>155</v>
      </c>
      <c r="K5" s="1" t="s">
        <v>154</v>
      </c>
      <c r="L5" s="12" t="s">
        <v>1072</v>
      </c>
    </row>
    <row r="6" spans="1:12" x14ac:dyDescent="0.35">
      <c r="A6">
        <v>1</v>
      </c>
      <c r="B6" s="7">
        <v>17</v>
      </c>
      <c r="C6" s="1">
        <v>12</v>
      </c>
      <c r="D6" s="7">
        <v>309</v>
      </c>
      <c r="E6" s="1">
        <v>29</v>
      </c>
      <c r="F6" s="7" t="s">
        <v>89</v>
      </c>
      <c r="G6" s="1" t="s">
        <v>88</v>
      </c>
      <c r="H6" s="10">
        <v>0.8931</v>
      </c>
      <c r="I6" s="1" t="s">
        <v>124</v>
      </c>
      <c r="J6" s="7" t="s">
        <v>158</v>
      </c>
      <c r="K6" s="1" t="s">
        <v>157</v>
      </c>
    </row>
    <row r="7" spans="1:12" x14ac:dyDescent="0.35">
      <c r="A7">
        <v>1</v>
      </c>
      <c r="B7" s="7">
        <v>5</v>
      </c>
      <c r="C7" s="1">
        <v>11</v>
      </c>
      <c r="D7" s="7">
        <v>10</v>
      </c>
      <c r="E7" s="1">
        <v>70</v>
      </c>
      <c r="F7" s="7" t="s">
        <v>92</v>
      </c>
      <c r="G7" s="1" t="s">
        <v>91</v>
      </c>
      <c r="H7" s="10">
        <v>1.228</v>
      </c>
      <c r="I7" s="1" t="s">
        <v>127</v>
      </c>
      <c r="J7" s="7" t="s">
        <v>161</v>
      </c>
      <c r="K7" s="1" t="s">
        <v>160</v>
      </c>
    </row>
    <row r="8" spans="1:12" x14ac:dyDescent="0.35">
      <c r="A8">
        <v>1</v>
      </c>
      <c r="B8" s="7">
        <v>14</v>
      </c>
      <c r="C8" s="1">
        <v>11</v>
      </c>
      <c r="D8" s="7">
        <v>200</v>
      </c>
      <c r="E8" s="1">
        <v>198</v>
      </c>
      <c r="F8" s="7" t="s">
        <v>95</v>
      </c>
      <c r="G8" s="1" t="s">
        <v>94</v>
      </c>
      <c r="H8" s="10">
        <v>1.046</v>
      </c>
      <c r="I8" s="1" t="s">
        <v>130</v>
      </c>
      <c r="J8" s="7" t="s">
        <v>164</v>
      </c>
      <c r="K8" s="1" t="s">
        <v>163</v>
      </c>
    </row>
    <row r="9" spans="1:12" x14ac:dyDescent="0.35">
      <c r="A9">
        <v>1</v>
      </c>
      <c r="B9" s="7">
        <v>17</v>
      </c>
      <c r="C9" s="1">
        <v>18</v>
      </c>
      <c r="D9" s="7">
        <v>926</v>
      </c>
      <c r="E9" s="1">
        <v>254</v>
      </c>
      <c r="F9" s="7" t="s">
        <v>98</v>
      </c>
      <c r="G9" s="1" t="s">
        <v>97</v>
      </c>
      <c r="H9" s="10">
        <v>0.55559999999999998</v>
      </c>
      <c r="I9" s="1" t="s">
        <v>132</v>
      </c>
      <c r="J9" s="7" t="s">
        <v>167</v>
      </c>
      <c r="K9" s="1" t="s">
        <v>166</v>
      </c>
    </row>
    <row r="10" spans="1:12" x14ac:dyDescent="0.35">
      <c r="A10">
        <v>1</v>
      </c>
      <c r="B10" s="7">
        <v>18</v>
      </c>
      <c r="C10" s="1">
        <v>20</v>
      </c>
      <c r="D10" s="7">
        <v>122</v>
      </c>
      <c r="E10" s="1">
        <v>120</v>
      </c>
      <c r="F10" s="7" t="s">
        <v>102</v>
      </c>
      <c r="G10" s="1" t="s">
        <v>101</v>
      </c>
      <c r="H10" s="10">
        <v>2.081</v>
      </c>
      <c r="I10" s="1" t="s">
        <v>136</v>
      </c>
      <c r="J10" s="7" t="s">
        <v>171</v>
      </c>
      <c r="K10" s="1" t="s">
        <v>170</v>
      </c>
    </row>
    <row r="11" spans="1:12" x14ac:dyDescent="0.35">
      <c r="A11">
        <v>1</v>
      </c>
      <c r="B11" s="7">
        <v>17</v>
      </c>
      <c r="C11" s="1">
        <v>23</v>
      </c>
      <c r="D11" s="7">
        <v>153</v>
      </c>
      <c r="E11" s="1">
        <v>90</v>
      </c>
      <c r="F11" s="7" t="s">
        <v>106</v>
      </c>
      <c r="G11" s="1" t="s">
        <v>105</v>
      </c>
      <c r="H11" s="10">
        <v>1.8069999999999999</v>
      </c>
      <c r="I11" s="1" t="s">
        <v>140</v>
      </c>
      <c r="J11" s="7" t="s">
        <v>175</v>
      </c>
      <c r="K11" s="1" t="s">
        <v>174</v>
      </c>
    </row>
    <row r="12" spans="1:12" x14ac:dyDescent="0.35">
      <c r="A12">
        <v>2</v>
      </c>
      <c r="B12" s="7">
        <v>5</v>
      </c>
      <c r="C12" s="1">
        <v>15</v>
      </c>
      <c r="D12" s="7">
        <v>22</v>
      </c>
      <c r="E12" s="1">
        <v>89</v>
      </c>
      <c r="F12" s="7" t="s">
        <v>78</v>
      </c>
      <c r="G12" s="1" t="s">
        <v>77</v>
      </c>
      <c r="H12" s="10">
        <v>1.046</v>
      </c>
      <c r="I12" s="1" t="s">
        <v>111</v>
      </c>
      <c r="J12" s="7" t="s">
        <v>147</v>
      </c>
      <c r="K12" s="1" t="s">
        <v>146</v>
      </c>
    </row>
    <row r="13" spans="1:12" x14ac:dyDescent="0.35">
      <c r="A13">
        <v>2</v>
      </c>
      <c r="B13" s="7">
        <v>7</v>
      </c>
      <c r="C13" s="1">
        <v>5</v>
      </c>
      <c r="D13" s="7">
        <v>29</v>
      </c>
      <c r="E13" s="1">
        <v>7</v>
      </c>
      <c r="F13" s="7" t="s">
        <v>84</v>
      </c>
      <c r="G13" s="1" t="s">
        <v>81</v>
      </c>
      <c r="H13" s="10">
        <v>1.496</v>
      </c>
      <c r="I13" s="1" t="s">
        <v>115</v>
      </c>
      <c r="J13" s="7" t="s">
        <v>153</v>
      </c>
      <c r="K13" s="1" t="s">
        <v>150</v>
      </c>
    </row>
    <row r="14" spans="1:12" x14ac:dyDescent="0.35">
      <c r="A14">
        <v>2</v>
      </c>
      <c r="B14" s="7">
        <v>2</v>
      </c>
      <c r="C14" s="1">
        <v>4</v>
      </c>
      <c r="D14" s="7">
        <v>2</v>
      </c>
      <c r="E14" s="1">
        <v>6</v>
      </c>
      <c r="F14" s="7" t="s">
        <v>53</v>
      </c>
      <c r="G14" s="1" t="s">
        <v>83</v>
      </c>
      <c r="H14" s="10">
        <v>0.69310000000000005</v>
      </c>
      <c r="I14" s="1" t="s">
        <v>118</v>
      </c>
      <c r="J14" s="7">
        <v>1</v>
      </c>
      <c r="K14" s="1" t="s">
        <v>152</v>
      </c>
    </row>
    <row r="15" spans="1:12" x14ac:dyDescent="0.35">
      <c r="A15">
        <v>2</v>
      </c>
      <c r="B15" s="7">
        <v>1</v>
      </c>
      <c r="C15" s="1">
        <v>4</v>
      </c>
      <c r="D15" s="7">
        <v>5</v>
      </c>
      <c r="E15" s="1">
        <v>12</v>
      </c>
      <c r="F15" s="7">
        <v>0</v>
      </c>
      <c r="G15" s="1" t="s">
        <v>87</v>
      </c>
      <c r="H15" s="10">
        <v>0</v>
      </c>
      <c r="I15" s="1" t="s">
        <v>122</v>
      </c>
      <c r="J15" s="7">
        <v>1</v>
      </c>
      <c r="K15" s="1" t="s">
        <v>156</v>
      </c>
    </row>
    <row r="16" spans="1:12" x14ac:dyDescent="0.35">
      <c r="A16">
        <v>2</v>
      </c>
      <c r="B16" s="7">
        <v>9</v>
      </c>
      <c r="C16" s="1">
        <v>4</v>
      </c>
      <c r="D16" s="7">
        <v>77</v>
      </c>
      <c r="E16" s="1">
        <v>21</v>
      </c>
      <c r="F16" s="7" t="s">
        <v>100</v>
      </c>
      <c r="G16" s="1" t="s">
        <v>90</v>
      </c>
      <c r="H16" s="10">
        <v>1.093</v>
      </c>
      <c r="I16" s="1" t="s">
        <v>126</v>
      </c>
      <c r="J16" s="7" t="s">
        <v>169</v>
      </c>
      <c r="K16" s="1" t="s">
        <v>159</v>
      </c>
    </row>
    <row r="17" spans="1:11" x14ac:dyDescent="0.35">
      <c r="A17">
        <v>2</v>
      </c>
      <c r="B17" s="7">
        <v>5</v>
      </c>
      <c r="C17" s="1">
        <v>5</v>
      </c>
      <c r="D17" s="7">
        <v>32</v>
      </c>
      <c r="E17" s="1">
        <v>89</v>
      </c>
      <c r="F17" s="7" t="s">
        <v>104</v>
      </c>
      <c r="G17" s="1" t="s">
        <v>93</v>
      </c>
      <c r="H17" s="10">
        <v>1.119</v>
      </c>
      <c r="I17" s="1" t="s">
        <v>129</v>
      </c>
      <c r="J17" s="7" t="s">
        <v>173</v>
      </c>
      <c r="K17" s="1" t="s">
        <v>162</v>
      </c>
    </row>
    <row r="18" spans="1:11" x14ac:dyDescent="0.35">
      <c r="A18">
        <v>2</v>
      </c>
      <c r="B18" s="7">
        <v>3</v>
      </c>
      <c r="C18" s="1">
        <v>5</v>
      </c>
      <c r="D18" s="7">
        <v>14</v>
      </c>
      <c r="E18" s="1">
        <v>87</v>
      </c>
      <c r="F18" s="7" t="s">
        <v>53</v>
      </c>
      <c r="G18" s="1" t="s">
        <v>96</v>
      </c>
      <c r="H18" s="10">
        <v>0.83050000000000002</v>
      </c>
      <c r="I18" s="1" t="s">
        <v>131</v>
      </c>
      <c r="J18" s="7" t="s">
        <v>177</v>
      </c>
      <c r="K18" s="1" t="s">
        <v>165</v>
      </c>
    </row>
    <row r="19" spans="1:11" x14ac:dyDescent="0.35">
      <c r="A19">
        <v>2</v>
      </c>
      <c r="B19" s="7">
        <v>0</v>
      </c>
      <c r="C19" s="1">
        <v>9</v>
      </c>
      <c r="D19" s="7">
        <v>0</v>
      </c>
      <c r="E19" s="1">
        <v>60</v>
      </c>
      <c r="F19" s="7">
        <v>0</v>
      </c>
      <c r="G19" s="1" t="s">
        <v>99</v>
      </c>
      <c r="H19" s="10">
        <v>0</v>
      </c>
      <c r="I19" s="1" t="s">
        <v>134</v>
      </c>
      <c r="J19" s="7">
        <v>0</v>
      </c>
      <c r="K19" s="1" t="s">
        <v>168</v>
      </c>
    </row>
    <row r="20" spans="1:11" x14ac:dyDescent="0.35">
      <c r="A20">
        <v>2</v>
      </c>
      <c r="B20" s="7">
        <v>0</v>
      </c>
      <c r="C20" s="1">
        <v>13</v>
      </c>
      <c r="D20" s="7">
        <v>0</v>
      </c>
      <c r="E20" s="1">
        <v>48</v>
      </c>
      <c r="F20" s="7">
        <v>0</v>
      </c>
      <c r="G20" s="1" t="s">
        <v>103</v>
      </c>
      <c r="H20" s="10">
        <v>0</v>
      </c>
      <c r="I20" s="1" t="s">
        <v>138</v>
      </c>
      <c r="J20" s="7">
        <v>0</v>
      </c>
      <c r="K20" s="1" t="s">
        <v>172</v>
      </c>
    </row>
    <row r="21" spans="1:11" x14ac:dyDescent="0.35">
      <c r="A21">
        <v>2</v>
      </c>
      <c r="B21" s="7">
        <v>0</v>
      </c>
      <c r="C21" s="1">
        <v>3</v>
      </c>
      <c r="D21" s="7">
        <v>0</v>
      </c>
      <c r="E21" s="1">
        <v>4</v>
      </c>
      <c r="F21" s="7">
        <v>0</v>
      </c>
      <c r="G21" s="1" t="s">
        <v>107</v>
      </c>
      <c r="H21" s="10">
        <v>0</v>
      </c>
      <c r="I21" s="1" t="s">
        <v>141</v>
      </c>
      <c r="J21" s="7">
        <v>0</v>
      </c>
      <c r="K21" s="1" t="s">
        <v>176</v>
      </c>
    </row>
    <row r="24" spans="1:11" x14ac:dyDescent="0.35">
      <c r="B24" s="5" t="s">
        <v>1074</v>
      </c>
      <c r="C24" s="5"/>
      <c r="D24" s="5"/>
      <c r="E24" s="5"/>
      <c r="F24" s="5"/>
      <c r="G24" s="5"/>
      <c r="H24" s="6"/>
    </row>
    <row r="26" spans="1:11" x14ac:dyDescent="0.35">
      <c r="A26" t="s">
        <v>1107</v>
      </c>
      <c r="B26">
        <f>AVERAGE(B2:B21)</f>
        <v>8.6999999999999993</v>
      </c>
      <c r="C26">
        <f t="shared" ref="C26:K26" si="0">AVERAGE(C2:C21)</f>
        <v>10.65</v>
      </c>
      <c r="D26">
        <f t="shared" si="0"/>
        <v>120.6</v>
      </c>
      <c r="E26">
        <f t="shared" si="0"/>
        <v>116.95</v>
      </c>
      <c r="F26">
        <f t="shared" si="0"/>
        <v>0</v>
      </c>
      <c r="G26" t="e">
        <f t="shared" si="0"/>
        <v>#DIV/0!</v>
      </c>
      <c r="H26">
        <f t="shared" si="0"/>
        <v>1.01336</v>
      </c>
      <c r="I26" t="e">
        <f t="shared" si="0"/>
        <v>#DIV/0!</v>
      </c>
      <c r="J26">
        <f t="shared" si="0"/>
        <v>0.5</v>
      </c>
      <c r="K26" t="e">
        <f t="shared" si="0"/>
        <v>#DIV/0!</v>
      </c>
    </row>
    <row r="27" spans="1:11" x14ac:dyDescent="0.35">
      <c r="A27" t="s">
        <v>1106</v>
      </c>
      <c r="B27">
        <f>_xlfn.STDEV.P(B2:B21)</f>
        <v>7.0929542505221335</v>
      </c>
      <c r="C27">
        <f t="shared" ref="C27:K27" si="1">_xlfn.STDEV.P(C2:C21)</f>
        <v>5.7120486692604429</v>
      </c>
      <c r="D27">
        <f t="shared" si="1"/>
        <v>212.61900197301273</v>
      </c>
      <c r="E27">
        <f t="shared" si="1"/>
        <v>210.91620966630327</v>
      </c>
      <c r="F27">
        <f t="shared" si="1"/>
        <v>0</v>
      </c>
      <c r="G27" t="e">
        <f t="shared" si="1"/>
        <v>#DIV/0!</v>
      </c>
      <c r="H27">
        <f t="shared" si="1"/>
        <v>0.70015978347802865</v>
      </c>
      <c r="I27" t="e">
        <f t="shared" si="1"/>
        <v>#DIV/0!</v>
      </c>
      <c r="J27">
        <f t="shared" si="1"/>
        <v>0.5</v>
      </c>
      <c r="K27" t="e">
        <f t="shared" si="1"/>
        <v>#DIV/0!</v>
      </c>
    </row>
    <row r="28" spans="1:11" x14ac:dyDescent="0.35">
      <c r="A28" t="s">
        <v>1101</v>
      </c>
      <c r="B28">
        <f>MEDIAN(B2:B21)</f>
        <v>6</v>
      </c>
      <c r="C28">
        <f t="shared" ref="C28:K28" si="2">MEDIAN(C2:C21)</f>
        <v>11</v>
      </c>
      <c r="D28">
        <f t="shared" si="2"/>
        <v>30.5</v>
      </c>
      <c r="E28">
        <f t="shared" si="2"/>
        <v>65</v>
      </c>
      <c r="F28">
        <f t="shared" si="2"/>
        <v>0</v>
      </c>
      <c r="G28" t="e">
        <f t="shared" si="2"/>
        <v>#NUM!</v>
      </c>
      <c r="H28">
        <f t="shared" si="2"/>
        <v>1.046</v>
      </c>
      <c r="I28" t="e">
        <f t="shared" si="2"/>
        <v>#NUM!</v>
      </c>
      <c r="J28">
        <f t="shared" si="2"/>
        <v>0.5</v>
      </c>
      <c r="K28" t="e">
        <f t="shared" si="2"/>
        <v>#NUM!</v>
      </c>
    </row>
    <row r="30" spans="1:11" x14ac:dyDescent="0.35">
      <c r="A30" t="s">
        <v>1102</v>
      </c>
      <c r="B30">
        <f>MIN(B2:B21)</f>
        <v>0</v>
      </c>
      <c r="C30">
        <f t="shared" ref="C30:K30" si="3">MIN(C2:C21)</f>
        <v>3</v>
      </c>
      <c r="D30">
        <f t="shared" si="3"/>
        <v>0</v>
      </c>
      <c r="E30">
        <f t="shared" si="3"/>
        <v>4</v>
      </c>
      <c r="F30">
        <f t="shared" si="3"/>
        <v>0</v>
      </c>
      <c r="G30">
        <f t="shared" si="3"/>
        <v>0</v>
      </c>
      <c r="H30">
        <f t="shared" si="3"/>
        <v>0</v>
      </c>
      <c r="I30">
        <f t="shared" si="3"/>
        <v>0</v>
      </c>
      <c r="J30">
        <f t="shared" si="3"/>
        <v>0</v>
      </c>
      <c r="K30">
        <f t="shared" si="3"/>
        <v>0</v>
      </c>
    </row>
    <row r="31" spans="1:11" x14ac:dyDescent="0.35">
      <c r="A31" t="s">
        <v>1103</v>
      </c>
      <c r="B31">
        <f>MAX(B2:B21)</f>
        <v>20</v>
      </c>
      <c r="C31">
        <f t="shared" ref="C31:K31" si="4">MAX(C2:C21)</f>
        <v>23</v>
      </c>
      <c r="D31">
        <f t="shared" si="4"/>
        <v>926</v>
      </c>
      <c r="E31">
        <f t="shared" si="4"/>
        <v>996</v>
      </c>
      <c r="F31">
        <f t="shared" si="4"/>
        <v>0</v>
      </c>
      <c r="G31">
        <f t="shared" si="4"/>
        <v>0</v>
      </c>
      <c r="H31">
        <f t="shared" si="4"/>
        <v>2.4279999999999999</v>
      </c>
      <c r="I31">
        <f t="shared" si="4"/>
        <v>0</v>
      </c>
      <c r="J31">
        <f t="shared" si="4"/>
        <v>1</v>
      </c>
      <c r="K31">
        <f t="shared" si="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39C9-FFB5-4E0D-AC3B-AFE09A827FD6}">
  <dimension ref="A1:N39"/>
  <sheetViews>
    <sheetView topLeftCell="A4" workbookViewId="0">
      <selection activeCell="C39" sqref="C39"/>
    </sheetView>
  </sheetViews>
  <sheetFormatPr defaultRowHeight="14.5" x14ac:dyDescent="0.35"/>
  <cols>
    <col min="1" max="1" width="19.90625" bestFit="1" customWidth="1"/>
    <col min="2" max="3" width="14.90625" bestFit="1" customWidth="1"/>
    <col min="4" max="4" width="12.1796875" bestFit="1" customWidth="1"/>
    <col min="6" max="6" width="19.90625" bestFit="1" customWidth="1"/>
    <col min="7" max="7" width="17.81640625" bestFit="1" customWidth="1"/>
    <col min="8" max="8" width="14.90625" bestFit="1" customWidth="1"/>
    <col min="9" max="9" width="17.453125" bestFit="1" customWidth="1"/>
    <col min="11" max="12" width="19.90625" bestFit="1" customWidth="1"/>
    <col min="13" max="13" width="14.90625" bestFit="1" customWidth="1"/>
    <col min="14" max="14" width="17.453125" bestFit="1" customWidth="1"/>
  </cols>
  <sheetData>
    <row r="1" spans="1:14" x14ac:dyDescent="0.35">
      <c r="A1" s="4" t="s">
        <v>513</v>
      </c>
      <c r="B1" s="4" t="s">
        <v>514</v>
      </c>
      <c r="C1" s="4"/>
      <c r="D1" s="4"/>
      <c r="F1" s="4" t="s">
        <v>74</v>
      </c>
      <c r="G1" s="4" t="s">
        <v>499</v>
      </c>
      <c r="H1" s="4"/>
      <c r="I1" s="4"/>
    </row>
    <row r="2" spans="1:14" x14ac:dyDescent="0.35">
      <c r="A2" s="4" t="s">
        <v>412</v>
      </c>
      <c r="B2" s="4">
        <v>20</v>
      </c>
      <c r="C2" s="4"/>
      <c r="D2" s="4"/>
      <c r="F2" s="4" t="s">
        <v>412</v>
      </c>
      <c r="G2" s="4">
        <v>20</v>
      </c>
      <c r="H2" s="4"/>
      <c r="I2" s="4"/>
    </row>
    <row r="3" spans="1:14" x14ac:dyDescent="0.35">
      <c r="A3" s="4" t="s">
        <v>413</v>
      </c>
      <c r="B3" s="4" t="s">
        <v>502</v>
      </c>
      <c r="C3" s="4" t="s">
        <v>413</v>
      </c>
      <c r="D3" s="4" t="s">
        <v>326</v>
      </c>
      <c r="F3" s="4" t="s">
        <v>413</v>
      </c>
      <c r="G3" s="5" t="s">
        <v>528</v>
      </c>
      <c r="H3" s="4" t="s">
        <v>413</v>
      </c>
      <c r="I3" s="5" t="s">
        <v>529</v>
      </c>
    </row>
    <row r="4" spans="1:14" x14ac:dyDescent="0.35">
      <c r="A4" s="5" t="s">
        <v>416</v>
      </c>
      <c r="B4" s="5">
        <v>6</v>
      </c>
      <c r="C4" s="5" t="s">
        <v>416</v>
      </c>
      <c r="D4" s="5">
        <v>11</v>
      </c>
      <c r="F4" s="4" t="s">
        <v>416</v>
      </c>
      <c r="G4" s="4" t="s">
        <v>53</v>
      </c>
      <c r="H4" s="4" t="s">
        <v>416</v>
      </c>
      <c r="I4" s="4" t="s">
        <v>530</v>
      </c>
      <c r="K4" s="4" t="s">
        <v>143</v>
      </c>
      <c r="L4" s="4" t="s">
        <v>501</v>
      </c>
      <c r="M4" s="4"/>
      <c r="N4" s="4"/>
    </row>
    <row r="5" spans="1:14" x14ac:dyDescent="0.35">
      <c r="A5" s="4"/>
      <c r="B5" s="4"/>
      <c r="C5" s="4"/>
      <c r="D5" s="4"/>
      <c r="F5" s="4"/>
      <c r="G5" s="4"/>
      <c r="H5" s="4"/>
      <c r="I5" s="4"/>
      <c r="K5" s="4" t="s">
        <v>412</v>
      </c>
      <c r="L5" s="4">
        <v>20</v>
      </c>
      <c r="M5" s="4"/>
      <c r="N5" s="4"/>
    </row>
    <row r="6" spans="1:14" x14ac:dyDescent="0.35">
      <c r="A6" s="4" t="s">
        <v>418</v>
      </c>
      <c r="B6" s="4"/>
      <c r="C6" s="4"/>
      <c r="D6" s="4"/>
      <c r="F6" s="4" t="s">
        <v>418</v>
      </c>
      <c r="G6" s="4"/>
      <c r="H6" s="4"/>
      <c r="I6" s="4"/>
      <c r="K6" s="4" t="s">
        <v>413</v>
      </c>
      <c r="L6" s="5" t="s">
        <v>553</v>
      </c>
      <c r="M6" s="4" t="s">
        <v>413</v>
      </c>
      <c r="N6" s="5" t="s">
        <v>554</v>
      </c>
    </row>
    <row r="7" spans="1:14" x14ac:dyDescent="0.35">
      <c r="A7" s="4" t="s">
        <v>419</v>
      </c>
      <c r="B7" s="4" t="s">
        <v>503</v>
      </c>
      <c r="C7" s="4" t="s">
        <v>421</v>
      </c>
      <c r="D7" s="4" t="s">
        <v>504</v>
      </c>
      <c r="F7" s="4" t="s">
        <v>419</v>
      </c>
      <c r="G7" s="4" t="s">
        <v>531</v>
      </c>
      <c r="H7" s="4" t="s">
        <v>421</v>
      </c>
      <c r="I7" s="4" t="s">
        <v>532</v>
      </c>
      <c r="K7" s="4" t="s">
        <v>416</v>
      </c>
      <c r="L7" s="4" t="s">
        <v>486</v>
      </c>
      <c r="M7" s="4" t="s">
        <v>416</v>
      </c>
      <c r="N7" s="4" t="s">
        <v>555</v>
      </c>
    </row>
    <row r="8" spans="1:14" x14ac:dyDescent="0.35">
      <c r="A8" s="4" t="s">
        <v>423</v>
      </c>
      <c r="B8" s="4" t="s">
        <v>505</v>
      </c>
      <c r="C8" s="4" t="s">
        <v>425</v>
      </c>
      <c r="D8" s="4" t="s">
        <v>506</v>
      </c>
      <c r="F8" s="4" t="s">
        <v>423</v>
      </c>
      <c r="G8" s="5" t="s">
        <v>533</v>
      </c>
      <c r="H8" s="4" t="s">
        <v>425</v>
      </c>
      <c r="I8" s="4" t="s">
        <v>534</v>
      </c>
      <c r="K8" s="4"/>
      <c r="L8" s="4"/>
      <c r="M8" s="4"/>
      <c r="N8" s="4"/>
    </row>
    <row r="9" spans="1:14" x14ac:dyDescent="0.35">
      <c r="A9" s="4" t="s">
        <v>427</v>
      </c>
      <c r="B9" s="4" t="s">
        <v>425</v>
      </c>
      <c r="C9" s="4" t="s">
        <v>507</v>
      </c>
      <c r="D9" s="4"/>
      <c r="F9" s="4" t="s">
        <v>427</v>
      </c>
      <c r="G9" s="4" t="s">
        <v>425</v>
      </c>
      <c r="H9" s="5" t="s">
        <v>535</v>
      </c>
      <c r="I9" s="4"/>
      <c r="K9" s="4" t="s">
        <v>418</v>
      </c>
      <c r="L9" s="4"/>
      <c r="M9" s="4"/>
      <c r="N9" s="4"/>
    </row>
    <row r="10" spans="1:14" x14ac:dyDescent="0.35">
      <c r="A10" s="4"/>
      <c r="B10" s="4"/>
      <c r="C10" s="4"/>
      <c r="D10" s="4"/>
      <c r="F10" s="4"/>
      <c r="G10" s="4"/>
      <c r="H10" s="4"/>
      <c r="I10" s="4"/>
      <c r="K10" s="4" t="s">
        <v>419</v>
      </c>
      <c r="L10" s="4" t="s">
        <v>556</v>
      </c>
      <c r="M10" s="4" t="s">
        <v>421</v>
      </c>
      <c r="N10" s="4" t="s">
        <v>557</v>
      </c>
    </row>
    <row r="11" spans="1:14" x14ac:dyDescent="0.35">
      <c r="A11" s="4" t="s">
        <v>429</v>
      </c>
      <c r="B11" s="4"/>
      <c r="C11" s="4"/>
      <c r="D11" s="4"/>
      <c r="F11" s="4" t="s">
        <v>429</v>
      </c>
      <c r="G11" s="4"/>
      <c r="H11" s="4"/>
      <c r="I11" s="4"/>
      <c r="K11" s="4" t="s">
        <v>423</v>
      </c>
      <c r="L11" s="5" t="s">
        <v>558</v>
      </c>
      <c r="M11" s="4" t="s">
        <v>425</v>
      </c>
      <c r="N11" s="4" t="s">
        <v>559</v>
      </c>
    </row>
    <row r="12" spans="1:14" x14ac:dyDescent="0.35">
      <c r="A12" s="4" t="s">
        <v>430</v>
      </c>
      <c r="B12" s="4">
        <v>13</v>
      </c>
      <c r="C12" s="4" t="s">
        <v>431</v>
      </c>
      <c r="D12" s="4" t="s">
        <v>508</v>
      </c>
      <c r="F12" s="4" t="s">
        <v>430</v>
      </c>
      <c r="G12" s="4">
        <v>13</v>
      </c>
      <c r="H12" s="4" t="s">
        <v>431</v>
      </c>
      <c r="I12" s="4" t="s">
        <v>536</v>
      </c>
      <c r="K12" s="4" t="s">
        <v>427</v>
      </c>
      <c r="L12" s="4" t="s">
        <v>425</v>
      </c>
      <c r="M12" s="5" t="s">
        <v>560</v>
      </c>
      <c r="N12" s="4"/>
    </row>
    <row r="13" spans="1:14" x14ac:dyDescent="0.35">
      <c r="A13" s="4"/>
      <c r="B13" s="4"/>
      <c r="C13" s="4"/>
      <c r="D13" s="4"/>
      <c r="F13" s="4"/>
      <c r="G13" s="4"/>
      <c r="H13" s="4"/>
      <c r="I13" s="4"/>
      <c r="K13" s="4"/>
      <c r="L13" s="4"/>
      <c r="M13" s="4"/>
      <c r="N13" s="4"/>
    </row>
    <row r="14" spans="1:14" x14ac:dyDescent="0.35">
      <c r="A14" s="4" t="s">
        <v>433</v>
      </c>
      <c r="B14" s="4"/>
      <c r="C14" s="4"/>
      <c r="D14" s="4"/>
      <c r="F14" s="4" t="s">
        <v>433</v>
      </c>
      <c r="G14" s="4"/>
      <c r="H14" s="4"/>
      <c r="I14" s="4"/>
      <c r="K14" s="4" t="s">
        <v>429</v>
      </c>
      <c r="L14" s="4"/>
      <c r="M14" s="4"/>
      <c r="N14" s="4"/>
    </row>
    <row r="15" spans="1:14" x14ac:dyDescent="0.35">
      <c r="A15" s="4" t="s">
        <v>434</v>
      </c>
      <c r="B15" s="4">
        <v>129</v>
      </c>
      <c r="C15" s="4"/>
      <c r="D15" s="4"/>
      <c r="F15" s="4" t="s">
        <v>434</v>
      </c>
      <c r="G15" s="4">
        <v>161</v>
      </c>
      <c r="H15" s="4"/>
      <c r="I15" s="4"/>
      <c r="K15" s="4" t="s">
        <v>430</v>
      </c>
      <c r="L15" s="4">
        <v>10</v>
      </c>
      <c r="M15" s="4" t="s">
        <v>431</v>
      </c>
      <c r="N15" s="4" t="s">
        <v>527</v>
      </c>
    </row>
    <row r="16" spans="1:14" x14ac:dyDescent="0.35">
      <c r="A16" s="4" t="s">
        <v>436</v>
      </c>
      <c r="B16" s="5" t="s">
        <v>509</v>
      </c>
      <c r="C16" s="4" t="s">
        <v>431</v>
      </c>
      <c r="D16" s="4" t="s">
        <v>510</v>
      </c>
      <c r="F16" s="4" t="s">
        <v>436</v>
      </c>
      <c r="G16" s="4" t="s">
        <v>537</v>
      </c>
      <c r="H16" s="4" t="s">
        <v>431</v>
      </c>
      <c r="I16" s="4" t="s">
        <v>538</v>
      </c>
      <c r="K16" s="4"/>
      <c r="L16" s="4"/>
      <c r="M16" s="4"/>
      <c r="N16" s="4"/>
    </row>
    <row r="17" spans="1:14" x14ac:dyDescent="0.35">
      <c r="A17" s="4" t="s">
        <v>439</v>
      </c>
      <c r="B17" s="4" t="s">
        <v>431</v>
      </c>
      <c r="C17" s="4" t="s">
        <v>511</v>
      </c>
      <c r="D17" s="4"/>
      <c r="F17" s="4" t="s">
        <v>439</v>
      </c>
      <c r="G17" s="4" t="s">
        <v>431</v>
      </c>
      <c r="H17" s="4" t="s">
        <v>539</v>
      </c>
      <c r="I17" s="4"/>
      <c r="K17" s="4" t="s">
        <v>433</v>
      </c>
      <c r="L17" s="4"/>
      <c r="M17" s="4"/>
      <c r="N17" s="4"/>
    </row>
    <row r="18" spans="1:14" x14ac:dyDescent="0.35">
      <c r="A18" s="4" t="s">
        <v>427</v>
      </c>
      <c r="B18" s="4" t="s">
        <v>431</v>
      </c>
      <c r="C18" s="5" t="s">
        <v>512</v>
      </c>
      <c r="D18" s="4"/>
      <c r="F18" s="4" t="s">
        <v>427</v>
      </c>
      <c r="G18" s="4" t="s">
        <v>431</v>
      </c>
      <c r="H18" s="4" t="s">
        <v>540</v>
      </c>
      <c r="I18" s="4"/>
      <c r="K18" s="4" t="s">
        <v>434</v>
      </c>
      <c r="L18" s="4">
        <v>122</v>
      </c>
      <c r="M18" s="4"/>
      <c r="N18" s="4"/>
    </row>
    <row r="19" spans="1:14" x14ac:dyDescent="0.35">
      <c r="K19" s="4" t="s">
        <v>436</v>
      </c>
      <c r="L19" s="4" t="s">
        <v>561</v>
      </c>
      <c r="M19" s="4" t="s">
        <v>431</v>
      </c>
      <c r="N19" s="4" t="s">
        <v>562</v>
      </c>
    </row>
    <row r="20" spans="1:14" x14ac:dyDescent="0.35">
      <c r="K20" s="4" t="s">
        <v>439</v>
      </c>
      <c r="L20" s="4" t="s">
        <v>431</v>
      </c>
      <c r="M20" s="4" t="s">
        <v>563</v>
      </c>
      <c r="N20" s="4"/>
    </row>
    <row r="21" spans="1:14" x14ac:dyDescent="0.35">
      <c r="K21" s="4" t="s">
        <v>427</v>
      </c>
      <c r="L21" s="4" t="s">
        <v>431</v>
      </c>
      <c r="M21" s="4" t="s">
        <v>564</v>
      </c>
      <c r="N21" s="4"/>
    </row>
    <row r="22" spans="1:14" x14ac:dyDescent="0.35">
      <c r="A22" s="4" t="s">
        <v>38</v>
      </c>
      <c r="B22" s="4" t="s">
        <v>498</v>
      </c>
      <c r="C22" s="4"/>
      <c r="D22" s="4"/>
      <c r="F22" s="4" t="s">
        <v>108</v>
      </c>
      <c r="G22" s="4" t="s">
        <v>500</v>
      </c>
      <c r="H22" s="4"/>
      <c r="I22" s="4"/>
    </row>
    <row r="23" spans="1:14" x14ac:dyDescent="0.35">
      <c r="A23" s="4" t="s">
        <v>412</v>
      </c>
      <c r="B23" s="4">
        <v>20</v>
      </c>
      <c r="C23" s="4"/>
      <c r="D23" s="4"/>
      <c r="F23" s="4" t="s">
        <v>412</v>
      </c>
      <c r="G23" s="4">
        <v>20</v>
      </c>
      <c r="H23" s="4"/>
      <c r="I23" s="4"/>
    </row>
    <row r="24" spans="1:14" x14ac:dyDescent="0.35">
      <c r="A24" s="4" t="s">
        <v>413</v>
      </c>
      <c r="B24" s="4" t="s">
        <v>515</v>
      </c>
      <c r="C24" s="4" t="s">
        <v>413</v>
      </c>
      <c r="D24" s="4" t="s">
        <v>516</v>
      </c>
      <c r="F24" s="4" t="s">
        <v>413</v>
      </c>
      <c r="G24" s="5" t="s">
        <v>541</v>
      </c>
      <c r="H24" s="4" t="s">
        <v>413</v>
      </c>
      <c r="I24" s="5" t="s">
        <v>542</v>
      </c>
    </row>
    <row r="25" spans="1:14" x14ac:dyDescent="0.35">
      <c r="A25" s="4" t="s">
        <v>416</v>
      </c>
      <c r="B25" s="5" t="s">
        <v>517</v>
      </c>
      <c r="C25" s="4" t="s">
        <v>416</v>
      </c>
      <c r="D25" s="5">
        <v>65</v>
      </c>
      <c r="F25" s="4" t="s">
        <v>416</v>
      </c>
      <c r="G25" s="4" t="s">
        <v>112</v>
      </c>
      <c r="H25" s="4" t="s">
        <v>416</v>
      </c>
      <c r="I25" s="4" t="s">
        <v>543</v>
      </c>
    </row>
    <row r="26" spans="1:14" x14ac:dyDescent="0.35">
      <c r="A26" s="4"/>
      <c r="B26" s="4"/>
      <c r="C26" s="4"/>
      <c r="D26" s="4"/>
      <c r="F26" s="4"/>
      <c r="G26" s="4"/>
      <c r="H26" s="4"/>
      <c r="I26" s="4"/>
    </row>
    <row r="27" spans="1:14" x14ac:dyDescent="0.35">
      <c r="A27" s="4" t="s">
        <v>418</v>
      </c>
      <c r="B27" s="4"/>
      <c r="C27" s="4"/>
      <c r="D27" s="4"/>
      <c r="F27" s="4" t="s">
        <v>418</v>
      </c>
      <c r="G27" s="4"/>
      <c r="H27" s="4"/>
      <c r="I27" s="4"/>
    </row>
    <row r="28" spans="1:14" x14ac:dyDescent="0.35">
      <c r="A28" s="4" t="s">
        <v>419</v>
      </c>
      <c r="B28" s="4" t="s">
        <v>518</v>
      </c>
      <c r="C28" s="4" t="s">
        <v>421</v>
      </c>
      <c r="D28" s="4" t="s">
        <v>519</v>
      </c>
      <c r="F28" s="4" t="s">
        <v>419</v>
      </c>
      <c r="G28" s="4" t="s">
        <v>544</v>
      </c>
      <c r="H28" s="4" t="s">
        <v>421</v>
      </c>
      <c r="I28" s="4" t="s">
        <v>545</v>
      </c>
    </row>
    <row r="29" spans="1:14" x14ac:dyDescent="0.35">
      <c r="A29" s="4" t="s">
        <v>423</v>
      </c>
      <c r="B29" s="4" t="s">
        <v>520</v>
      </c>
      <c r="C29" s="4" t="s">
        <v>425</v>
      </c>
      <c r="D29" s="4" t="s">
        <v>521</v>
      </c>
      <c r="F29" s="4" t="s">
        <v>423</v>
      </c>
      <c r="G29" s="5" t="s">
        <v>546</v>
      </c>
      <c r="H29" s="4" t="s">
        <v>425</v>
      </c>
      <c r="I29" s="4" t="s">
        <v>547</v>
      </c>
    </row>
    <row r="30" spans="1:14" x14ac:dyDescent="0.35">
      <c r="A30" s="4" t="s">
        <v>427</v>
      </c>
      <c r="B30" s="4" t="s">
        <v>425</v>
      </c>
      <c r="C30" s="4" t="s">
        <v>522</v>
      </c>
      <c r="D30" s="4"/>
      <c r="F30" s="4" t="s">
        <v>427</v>
      </c>
      <c r="G30" s="4" t="s">
        <v>425</v>
      </c>
      <c r="H30" s="5" t="s">
        <v>548</v>
      </c>
      <c r="I30" s="4"/>
    </row>
    <row r="31" spans="1:14" x14ac:dyDescent="0.35">
      <c r="A31" s="4"/>
      <c r="B31" s="4"/>
      <c r="C31" s="4"/>
      <c r="D31" s="4"/>
      <c r="F31" s="4"/>
      <c r="G31" s="4"/>
      <c r="H31" s="4"/>
      <c r="I31" s="4"/>
    </row>
    <row r="32" spans="1:14" x14ac:dyDescent="0.35">
      <c r="A32" s="4" t="s">
        <v>429</v>
      </c>
      <c r="B32" s="4"/>
      <c r="C32" s="4"/>
      <c r="D32" s="4"/>
      <c r="F32" s="4" t="s">
        <v>429</v>
      </c>
      <c r="G32" s="4"/>
      <c r="H32" s="4"/>
      <c r="I32" s="4"/>
    </row>
    <row r="33" spans="1:9" x14ac:dyDescent="0.35">
      <c r="A33" s="4" t="s">
        <v>430</v>
      </c>
      <c r="B33" s="4">
        <v>12</v>
      </c>
      <c r="C33" s="4" t="s">
        <v>431</v>
      </c>
      <c r="D33" s="4" t="s">
        <v>465</v>
      </c>
      <c r="F33" s="4" t="s">
        <v>430</v>
      </c>
      <c r="G33" s="4">
        <v>15</v>
      </c>
      <c r="H33" s="4" t="s">
        <v>431</v>
      </c>
      <c r="I33" s="4" t="s">
        <v>450</v>
      </c>
    </row>
    <row r="34" spans="1:9" x14ac:dyDescent="0.35">
      <c r="A34" s="4"/>
      <c r="B34" s="4"/>
      <c r="C34" s="4"/>
      <c r="D34" s="4"/>
      <c r="F34" s="4"/>
      <c r="G34" s="4"/>
      <c r="H34" s="4"/>
      <c r="I34" s="4"/>
    </row>
    <row r="35" spans="1:9" x14ac:dyDescent="0.35">
      <c r="A35" s="4" t="s">
        <v>433</v>
      </c>
      <c r="B35" s="4"/>
      <c r="C35" s="4"/>
      <c r="D35" s="4"/>
      <c r="F35" s="4" t="s">
        <v>433</v>
      </c>
      <c r="G35" s="4"/>
      <c r="H35" s="4"/>
      <c r="I35" s="4"/>
    </row>
    <row r="36" spans="1:9" x14ac:dyDescent="0.35">
      <c r="A36" s="4" t="s">
        <v>434</v>
      </c>
      <c r="B36" s="4">
        <v>129</v>
      </c>
      <c r="C36" s="4"/>
      <c r="D36" s="4"/>
      <c r="F36" s="4" t="s">
        <v>434</v>
      </c>
      <c r="G36" s="4">
        <v>169</v>
      </c>
      <c r="H36" s="4"/>
      <c r="I36" s="4"/>
    </row>
    <row r="37" spans="1:9" x14ac:dyDescent="0.35">
      <c r="A37" s="4" t="s">
        <v>436</v>
      </c>
      <c r="B37" s="5" t="s">
        <v>523</v>
      </c>
      <c r="C37" s="4" t="s">
        <v>431</v>
      </c>
      <c r="D37" s="4" t="s">
        <v>524</v>
      </c>
      <c r="F37" s="4" t="s">
        <v>436</v>
      </c>
      <c r="G37" s="4" t="s">
        <v>549</v>
      </c>
      <c r="H37" s="4" t="s">
        <v>431</v>
      </c>
      <c r="I37" s="4" t="s">
        <v>550</v>
      </c>
    </row>
    <row r="38" spans="1:9" x14ac:dyDescent="0.35">
      <c r="A38" s="4" t="s">
        <v>439</v>
      </c>
      <c r="B38" s="4" t="s">
        <v>431</v>
      </c>
      <c r="C38" s="4" t="s">
        <v>525</v>
      </c>
      <c r="D38" s="4"/>
      <c r="F38" s="4" t="s">
        <v>439</v>
      </c>
      <c r="G38" s="4" t="s">
        <v>431</v>
      </c>
      <c r="H38" s="4" t="s">
        <v>551</v>
      </c>
      <c r="I38" s="4"/>
    </row>
    <row r="39" spans="1:9" x14ac:dyDescent="0.35">
      <c r="A39" s="4" t="s">
        <v>427</v>
      </c>
      <c r="B39" s="4" t="s">
        <v>431</v>
      </c>
      <c r="C39" s="5" t="s">
        <v>526</v>
      </c>
      <c r="D39" s="4"/>
      <c r="F39" s="4" t="s">
        <v>427</v>
      </c>
      <c r="G39" s="4" t="s">
        <v>431</v>
      </c>
      <c r="H39" s="4" t="s">
        <v>552</v>
      </c>
      <c r="I3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4EC5-E964-4D3A-866F-7901E4B73F07}">
  <dimension ref="A1:M28"/>
  <sheetViews>
    <sheetView topLeftCell="A15" workbookViewId="0">
      <selection activeCell="H2" sqref="H2:H21"/>
    </sheetView>
  </sheetViews>
  <sheetFormatPr defaultColWidth="7.1796875" defaultRowHeight="14.5" x14ac:dyDescent="0.35"/>
  <cols>
    <col min="1" max="1" width="7.36328125" bestFit="1" customWidth="1"/>
    <col min="2" max="2" width="6.453125" bestFit="1" customWidth="1"/>
    <col min="3" max="3" width="6.453125" customWidth="1"/>
    <col min="4" max="4" width="9.453125" bestFit="1" customWidth="1"/>
    <col min="5" max="5" width="9.453125" customWidth="1"/>
    <col min="6" max="6" width="11.54296875" bestFit="1" customWidth="1"/>
    <col min="7" max="7" width="11.54296875" customWidth="1"/>
    <col min="8" max="8" width="10.08984375" bestFit="1" customWidth="1"/>
    <col min="9" max="9" width="10.08984375" customWidth="1"/>
    <col min="10" max="10" width="14.453125" bestFit="1" customWidth="1"/>
    <col min="11" max="11" width="14.453125" customWidth="1"/>
    <col min="12" max="12" width="8" bestFit="1" customWidth="1"/>
  </cols>
  <sheetData>
    <row r="1" spans="1:13" x14ac:dyDescent="0.35">
      <c r="A1" t="s">
        <v>403</v>
      </c>
      <c r="B1" t="s">
        <v>1104</v>
      </c>
      <c r="C1" t="s">
        <v>406</v>
      </c>
      <c r="D1" t="s">
        <v>1105</v>
      </c>
      <c r="E1" t="s">
        <v>407</v>
      </c>
      <c r="F1" t="s">
        <v>74</v>
      </c>
      <c r="G1" t="s">
        <v>408</v>
      </c>
      <c r="H1" t="s">
        <v>108</v>
      </c>
      <c r="I1" t="s">
        <v>409</v>
      </c>
      <c r="J1" t="s">
        <v>143</v>
      </c>
      <c r="K1" t="s">
        <v>410</v>
      </c>
      <c r="L1" t="s">
        <v>253</v>
      </c>
      <c r="M1" t="s">
        <v>411</v>
      </c>
    </row>
    <row r="2" spans="1:13" x14ac:dyDescent="0.35">
      <c r="A2" t="s">
        <v>405</v>
      </c>
      <c r="B2">
        <v>20</v>
      </c>
      <c r="C2" s="1">
        <v>5</v>
      </c>
      <c r="D2">
        <v>59</v>
      </c>
      <c r="E2" s="1">
        <v>22</v>
      </c>
      <c r="F2" t="s">
        <v>76</v>
      </c>
      <c r="G2" s="1" t="s">
        <v>78</v>
      </c>
      <c r="H2" t="s">
        <v>110</v>
      </c>
      <c r="I2" s="1" t="s">
        <v>112</v>
      </c>
      <c r="J2" t="s">
        <v>145</v>
      </c>
      <c r="K2" s="1" t="s">
        <v>147</v>
      </c>
      <c r="L2" t="s">
        <v>255</v>
      </c>
      <c r="M2" s="1" t="s">
        <v>257</v>
      </c>
    </row>
    <row r="3" spans="1:13" x14ac:dyDescent="0.35">
      <c r="A3" t="s">
        <v>405</v>
      </c>
      <c r="B3">
        <v>19</v>
      </c>
      <c r="C3" s="1">
        <v>4</v>
      </c>
      <c r="D3">
        <v>65</v>
      </c>
      <c r="E3" s="1">
        <v>6</v>
      </c>
      <c r="F3" t="s">
        <v>80</v>
      </c>
      <c r="G3" s="1" t="s">
        <v>83</v>
      </c>
      <c r="H3" t="s">
        <v>114</v>
      </c>
      <c r="I3" s="1" t="s">
        <v>118</v>
      </c>
      <c r="J3" t="s">
        <v>149</v>
      </c>
      <c r="K3" s="1" t="s">
        <v>152</v>
      </c>
      <c r="L3" t="s">
        <v>259</v>
      </c>
      <c r="M3" s="1" t="s">
        <v>263</v>
      </c>
    </row>
    <row r="4" spans="1:13" x14ac:dyDescent="0.35">
      <c r="A4" t="s">
        <v>405</v>
      </c>
      <c r="B4">
        <v>3</v>
      </c>
      <c r="C4" s="1">
        <v>4</v>
      </c>
      <c r="D4">
        <v>3</v>
      </c>
      <c r="E4" s="1">
        <v>12</v>
      </c>
      <c r="F4" t="s">
        <v>83</v>
      </c>
      <c r="G4" s="1" t="s">
        <v>87</v>
      </c>
      <c r="H4" t="s">
        <v>117</v>
      </c>
      <c r="I4" s="1" t="s">
        <v>122</v>
      </c>
      <c r="J4">
        <v>1</v>
      </c>
      <c r="K4" s="1" t="s">
        <v>156</v>
      </c>
      <c r="L4" t="s">
        <v>262</v>
      </c>
      <c r="M4" s="1" t="s">
        <v>267</v>
      </c>
    </row>
    <row r="5" spans="1:13" x14ac:dyDescent="0.35">
      <c r="A5" t="s">
        <v>405</v>
      </c>
      <c r="B5">
        <v>12</v>
      </c>
      <c r="C5" s="1">
        <v>4</v>
      </c>
      <c r="D5">
        <v>384</v>
      </c>
      <c r="E5" s="1">
        <v>21</v>
      </c>
      <c r="F5" t="s">
        <v>86</v>
      </c>
      <c r="G5" s="1" t="s">
        <v>90</v>
      </c>
      <c r="H5" t="s">
        <v>121</v>
      </c>
      <c r="I5" s="1" t="s">
        <v>126</v>
      </c>
      <c r="J5" t="s">
        <v>155</v>
      </c>
      <c r="K5" s="1" t="s">
        <v>159</v>
      </c>
      <c r="L5" t="s">
        <v>266</v>
      </c>
      <c r="M5" s="1" t="s">
        <v>271</v>
      </c>
    </row>
    <row r="6" spans="1:13" x14ac:dyDescent="0.35">
      <c r="A6" t="s">
        <v>405</v>
      </c>
      <c r="B6">
        <v>17</v>
      </c>
      <c r="C6" s="1">
        <v>1</v>
      </c>
      <c r="D6">
        <v>309</v>
      </c>
      <c r="E6" s="1">
        <v>5</v>
      </c>
      <c r="F6" t="s">
        <v>89</v>
      </c>
      <c r="G6" s="1">
        <v>0</v>
      </c>
      <c r="H6" t="s">
        <v>125</v>
      </c>
      <c r="I6" s="1">
        <v>0</v>
      </c>
      <c r="J6" t="s">
        <v>158</v>
      </c>
      <c r="K6" s="1">
        <v>1</v>
      </c>
      <c r="L6" t="s">
        <v>270</v>
      </c>
      <c r="M6" s="1">
        <v>0</v>
      </c>
    </row>
    <row r="7" spans="1:13" x14ac:dyDescent="0.35">
      <c r="A7" t="s">
        <v>405</v>
      </c>
      <c r="B7">
        <v>5</v>
      </c>
      <c r="C7" s="1">
        <v>9</v>
      </c>
      <c r="D7">
        <v>10</v>
      </c>
      <c r="E7" s="1">
        <v>60</v>
      </c>
      <c r="F7" t="s">
        <v>92</v>
      </c>
      <c r="G7" s="1" t="s">
        <v>99</v>
      </c>
      <c r="H7" t="s">
        <v>128</v>
      </c>
      <c r="I7" s="1" t="s">
        <v>134</v>
      </c>
      <c r="J7" t="s">
        <v>161</v>
      </c>
      <c r="K7" s="1" t="s">
        <v>168</v>
      </c>
      <c r="L7" t="s">
        <v>273</v>
      </c>
      <c r="M7" s="1" t="s">
        <v>280</v>
      </c>
    </row>
    <row r="8" spans="1:13" x14ac:dyDescent="0.35">
      <c r="A8" t="s">
        <v>405</v>
      </c>
      <c r="B8">
        <v>14</v>
      </c>
      <c r="C8" s="1">
        <v>13</v>
      </c>
      <c r="D8">
        <v>200</v>
      </c>
      <c r="E8" s="1">
        <v>48</v>
      </c>
      <c r="F8" t="s">
        <v>95</v>
      </c>
      <c r="G8" s="1" t="s">
        <v>103</v>
      </c>
      <c r="H8" t="s">
        <v>112</v>
      </c>
      <c r="I8" s="1" t="s">
        <v>138</v>
      </c>
      <c r="J8" t="s">
        <v>164</v>
      </c>
      <c r="K8" s="1" t="s">
        <v>172</v>
      </c>
      <c r="L8" t="s">
        <v>276</v>
      </c>
      <c r="M8" s="1" t="s">
        <v>284</v>
      </c>
    </row>
    <row r="9" spans="1:13" x14ac:dyDescent="0.35">
      <c r="A9" t="s">
        <v>405</v>
      </c>
      <c r="B9">
        <v>17</v>
      </c>
      <c r="C9" s="1">
        <v>3</v>
      </c>
      <c r="D9">
        <v>926</v>
      </c>
      <c r="E9" s="1">
        <v>4</v>
      </c>
      <c r="F9" t="s">
        <v>98</v>
      </c>
      <c r="G9" s="1" t="s">
        <v>107</v>
      </c>
      <c r="H9" t="s">
        <v>133</v>
      </c>
      <c r="I9" s="1" t="s">
        <v>141</v>
      </c>
      <c r="J9" t="s">
        <v>167</v>
      </c>
      <c r="K9" s="1" t="s">
        <v>176</v>
      </c>
      <c r="L9" t="s">
        <v>279</v>
      </c>
      <c r="M9" s="1" t="s">
        <v>268</v>
      </c>
    </row>
    <row r="10" spans="1:13" x14ac:dyDescent="0.35">
      <c r="A10" t="s">
        <v>405</v>
      </c>
      <c r="B10">
        <v>18</v>
      </c>
      <c r="C10" s="1">
        <v>0</v>
      </c>
      <c r="D10">
        <v>122</v>
      </c>
      <c r="F10" t="s">
        <v>102</v>
      </c>
      <c r="G10">
        <v>0</v>
      </c>
      <c r="H10" t="s">
        <v>137</v>
      </c>
      <c r="J10" t="s">
        <v>171</v>
      </c>
      <c r="K10">
        <v>0</v>
      </c>
      <c r="L10" t="s">
        <v>283</v>
      </c>
      <c r="M10">
        <v>0</v>
      </c>
    </row>
    <row r="11" spans="1:13" x14ac:dyDescent="0.35">
      <c r="A11" t="s">
        <v>405</v>
      </c>
      <c r="B11">
        <v>17</v>
      </c>
      <c r="C11" s="1">
        <v>0</v>
      </c>
      <c r="D11">
        <v>153</v>
      </c>
      <c r="F11" t="s">
        <v>106</v>
      </c>
      <c r="G11">
        <v>0</v>
      </c>
      <c r="H11" t="s">
        <v>113</v>
      </c>
      <c r="J11" t="s">
        <v>175</v>
      </c>
      <c r="K11">
        <v>0</v>
      </c>
      <c r="L11" t="s">
        <v>287</v>
      </c>
      <c r="M11">
        <v>0</v>
      </c>
    </row>
    <row r="12" spans="1:13" x14ac:dyDescent="0.35">
      <c r="A12" t="s">
        <v>404</v>
      </c>
      <c r="B12">
        <v>13</v>
      </c>
      <c r="C12" s="1">
        <v>15</v>
      </c>
      <c r="D12">
        <v>75</v>
      </c>
      <c r="E12" s="1">
        <v>89</v>
      </c>
      <c r="F12" t="s">
        <v>75</v>
      </c>
      <c r="G12" s="1" t="s">
        <v>77</v>
      </c>
      <c r="H12" t="s">
        <v>109</v>
      </c>
      <c r="I12" s="1" t="s">
        <v>111</v>
      </c>
      <c r="J12" t="s">
        <v>144</v>
      </c>
      <c r="K12" s="1" t="s">
        <v>146</v>
      </c>
      <c r="L12" t="s">
        <v>254</v>
      </c>
      <c r="M12" s="1" t="s">
        <v>256</v>
      </c>
    </row>
    <row r="13" spans="1:13" x14ac:dyDescent="0.35">
      <c r="A13" t="s">
        <v>404</v>
      </c>
      <c r="B13">
        <v>13</v>
      </c>
      <c r="C13" s="1">
        <v>5</v>
      </c>
      <c r="D13">
        <v>50</v>
      </c>
      <c r="E13" s="1">
        <v>7</v>
      </c>
      <c r="F13" t="s">
        <v>79</v>
      </c>
      <c r="G13" s="1" t="s">
        <v>81</v>
      </c>
      <c r="H13" t="s">
        <v>113</v>
      </c>
      <c r="I13" s="1" t="s">
        <v>115</v>
      </c>
      <c r="J13" t="s">
        <v>148</v>
      </c>
      <c r="K13" s="1" t="s">
        <v>150</v>
      </c>
      <c r="L13" t="s">
        <v>258</v>
      </c>
      <c r="M13" s="1" t="s">
        <v>260</v>
      </c>
    </row>
    <row r="14" spans="1:13" x14ac:dyDescent="0.35">
      <c r="A14" t="s">
        <v>404</v>
      </c>
      <c r="B14">
        <v>9</v>
      </c>
      <c r="C14" s="1">
        <v>7</v>
      </c>
      <c r="D14">
        <v>34</v>
      </c>
      <c r="E14" s="1">
        <v>29</v>
      </c>
      <c r="F14" t="s">
        <v>82</v>
      </c>
      <c r="G14" s="1" t="s">
        <v>84</v>
      </c>
      <c r="H14" t="s">
        <v>116</v>
      </c>
      <c r="I14" s="1" t="s">
        <v>119</v>
      </c>
      <c r="J14" t="s">
        <v>151</v>
      </c>
      <c r="K14" s="1" t="s">
        <v>153</v>
      </c>
      <c r="L14" t="s">
        <v>261</v>
      </c>
      <c r="M14" s="1" t="s">
        <v>264</v>
      </c>
    </row>
    <row r="15" spans="1:13" x14ac:dyDescent="0.35">
      <c r="A15" t="s">
        <v>404</v>
      </c>
      <c r="B15">
        <v>16</v>
      </c>
      <c r="C15" s="1">
        <v>2</v>
      </c>
      <c r="D15">
        <v>996</v>
      </c>
      <c r="E15" s="1">
        <v>2</v>
      </c>
      <c r="F15" t="s">
        <v>85</v>
      </c>
      <c r="G15" s="1" t="s">
        <v>53</v>
      </c>
      <c r="H15" t="s">
        <v>120</v>
      </c>
      <c r="I15" s="1" t="s">
        <v>123</v>
      </c>
      <c r="J15" t="s">
        <v>154</v>
      </c>
      <c r="K15" s="1">
        <v>1</v>
      </c>
      <c r="L15" t="s">
        <v>265</v>
      </c>
      <c r="M15" s="1" t="s">
        <v>268</v>
      </c>
    </row>
    <row r="16" spans="1:13" x14ac:dyDescent="0.35">
      <c r="A16" t="s">
        <v>404</v>
      </c>
      <c r="B16">
        <v>12</v>
      </c>
      <c r="C16" s="1">
        <v>5</v>
      </c>
      <c r="D16">
        <v>29</v>
      </c>
      <c r="E16" s="1">
        <v>89</v>
      </c>
      <c r="F16" t="s">
        <v>88</v>
      </c>
      <c r="G16" s="1" t="s">
        <v>93</v>
      </c>
      <c r="H16" t="s">
        <v>124</v>
      </c>
      <c r="I16" s="1" t="s">
        <v>129</v>
      </c>
      <c r="J16" t="s">
        <v>157</v>
      </c>
      <c r="K16" s="1" t="s">
        <v>162</v>
      </c>
      <c r="L16" t="s">
        <v>269</v>
      </c>
      <c r="M16" s="1" t="s">
        <v>274</v>
      </c>
    </row>
    <row r="17" spans="1:13" x14ac:dyDescent="0.35">
      <c r="A17" t="s">
        <v>404</v>
      </c>
      <c r="B17">
        <v>11</v>
      </c>
      <c r="C17" s="1">
        <v>5</v>
      </c>
      <c r="D17">
        <v>70</v>
      </c>
      <c r="E17" s="1">
        <v>87</v>
      </c>
      <c r="F17" t="s">
        <v>91</v>
      </c>
      <c r="G17" s="1" t="s">
        <v>96</v>
      </c>
      <c r="H17" t="s">
        <v>127</v>
      </c>
      <c r="I17" s="1" t="s">
        <v>131</v>
      </c>
      <c r="J17" t="s">
        <v>160</v>
      </c>
      <c r="K17" s="1" t="s">
        <v>165</v>
      </c>
      <c r="L17" t="s">
        <v>272</v>
      </c>
      <c r="M17" s="1" t="s">
        <v>277</v>
      </c>
    </row>
    <row r="18" spans="1:13" x14ac:dyDescent="0.35">
      <c r="A18" t="s">
        <v>404</v>
      </c>
      <c r="B18">
        <v>11</v>
      </c>
      <c r="C18" s="1">
        <v>9</v>
      </c>
      <c r="D18">
        <v>198</v>
      </c>
      <c r="E18" s="1">
        <v>77</v>
      </c>
      <c r="F18" t="s">
        <v>94</v>
      </c>
      <c r="G18" s="1" t="s">
        <v>100</v>
      </c>
      <c r="H18" t="s">
        <v>130</v>
      </c>
      <c r="I18" s="1" t="s">
        <v>135</v>
      </c>
      <c r="J18" t="s">
        <v>163</v>
      </c>
      <c r="K18" s="1" t="s">
        <v>169</v>
      </c>
      <c r="L18" t="s">
        <v>275</v>
      </c>
      <c r="M18" s="1" t="s">
        <v>281</v>
      </c>
    </row>
    <row r="19" spans="1:13" x14ac:dyDescent="0.35">
      <c r="A19" t="s">
        <v>404</v>
      </c>
      <c r="B19">
        <v>18</v>
      </c>
      <c r="C19" s="1">
        <v>5</v>
      </c>
      <c r="D19">
        <v>254</v>
      </c>
      <c r="E19" s="1">
        <v>32</v>
      </c>
      <c r="F19" t="s">
        <v>97</v>
      </c>
      <c r="G19" s="1" t="s">
        <v>104</v>
      </c>
      <c r="H19" t="s">
        <v>132</v>
      </c>
      <c r="I19" s="1" t="s">
        <v>139</v>
      </c>
      <c r="J19" t="s">
        <v>166</v>
      </c>
      <c r="K19" s="1" t="s">
        <v>173</v>
      </c>
      <c r="L19" t="s">
        <v>278</v>
      </c>
      <c r="M19" s="1" t="s">
        <v>285</v>
      </c>
    </row>
    <row r="20" spans="1:13" x14ac:dyDescent="0.35">
      <c r="A20" t="s">
        <v>404</v>
      </c>
      <c r="B20">
        <v>20</v>
      </c>
      <c r="C20" s="1">
        <v>3</v>
      </c>
      <c r="D20">
        <v>120</v>
      </c>
      <c r="E20" s="1">
        <v>14</v>
      </c>
      <c r="F20" t="s">
        <v>101</v>
      </c>
      <c r="G20" s="1" t="s">
        <v>53</v>
      </c>
      <c r="H20" t="s">
        <v>136</v>
      </c>
      <c r="I20" s="1" t="s">
        <v>142</v>
      </c>
      <c r="J20" t="s">
        <v>170</v>
      </c>
      <c r="K20" s="1" t="s">
        <v>177</v>
      </c>
      <c r="L20" t="s">
        <v>282</v>
      </c>
      <c r="M20" s="1" t="s">
        <v>288</v>
      </c>
    </row>
    <row r="21" spans="1:13" x14ac:dyDescent="0.35">
      <c r="A21" t="s">
        <v>404</v>
      </c>
      <c r="B21">
        <v>23</v>
      </c>
      <c r="C21" s="1">
        <v>0</v>
      </c>
      <c r="D21">
        <v>90</v>
      </c>
      <c r="F21" t="s">
        <v>105</v>
      </c>
      <c r="G21">
        <v>0</v>
      </c>
      <c r="H21" t="s">
        <v>140</v>
      </c>
      <c r="J21" t="s">
        <v>174</v>
      </c>
      <c r="K21">
        <v>0</v>
      </c>
      <c r="L21" t="s">
        <v>286</v>
      </c>
      <c r="M21">
        <v>0</v>
      </c>
    </row>
    <row r="23" spans="1:13" x14ac:dyDescent="0.35">
      <c r="A23" t="s">
        <v>1100</v>
      </c>
      <c r="B23">
        <f>AVERAGE(B2:B21)</f>
        <v>14.4</v>
      </c>
      <c r="C23">
        <f t="shared" ref="C23:M23" si="0">AVERAGE(C2:C21)</f>
        <v>4.95</v>
      </c>
      <c r="D23">
        <f t="shared" si="0"/>
        <v>207.35</v>
      </c>
      <c r="E23">
        <f t="shared" si="0"/>
        <v>35.529411764705884</v>
      </c>
      <c r="F23" t="e">
        <f t="shared" si="0"/>
        <v>#DIV/0!</v>
      </c>
      <c r="G23">
        <f t="shared" si="0"/>
        <v>0</v>
      </c>
      <c r="H23" t="e">
        <f t="shared" si="0"/>
        <v>#DIV/0!</v>
      </c>
      <c r="I23">
        <f t="shared" si="0"/>
        <v>0</v>
      </c>
      <c r="J23">
        <f t="shared" si="0"/>
        <v>1</v>
      </c>
      <c r="K23">
        <f t="shared" si="0"/>
        <v>0.4</v>
      </c>
      <c r="L23" t="e">
        <f t="shared" si="0"/>
        <v>#DIV/0!</v>
      </c>
      <c r="M23">
        <f t="shared" si="0"/>
        <v>0</v>
      </c>
    </row>
    <row r="24" spans="1:13" x14ac:dyDescent="0.35">
      <c r="A24" t="s">
        <v>1106</v>
      </c>
      <c r="B24">
        <f>_xlfn.STDEV.P(B2:B21)</f>
        <v>4.963869458396343</v>
      </c>
      <c r="C24">
        <f t="shared" ref="C24:M24" si="1">_xlfn.STDEV.P(C2:C21)</f>
        <v>3.9430318284284747</v>
      </c>
      <c r="D24">
        <f t="shared" si="1"/>
        <v>270.17573447665501</v>
      </c>
      <c r="E24">
        <f t="shared" si="1"/>
        <v>31.663892308504455</v>
      </c>
      <c r="F24" t="e">
        <f t="shared" si="1"/>
        <v>#DIV/0!</v>
      </c>
      <c r="G24">
        <f t="shared" si="1"/>
        <v>0</v>
      </c>
      <c r="H24" t="e">
        <f>_xlfn.STDEV.P(H2:H21)</f>
        <v>#DIV/0!</v>
      </c>
      <c r="I24">
        <f t="shared" si="1"/>
        <v>0</v>
      </c>
      <c r="J24">
        <f t="shared" si="1"/>
        <v>0</v>
      </c>
      <c r="K24">
        <f t="shared" si="1"/>
        <v>0.4898979485566356</v>
      </c>
      <c r="L24" t="e">
        <f t="shared" si="1"/>
        <v>#DIV/0!</v>
      </c>
      <c r="M24">
        <f t="shared" si="1"/>
        <v>0</v>
      </c>
    </row>
    <row r="25" spans="1:13" x14ac:dyDescent="0.35">
      <c r="A25" t="s">
        <v>1101</v>
      </c>
      <c r="B25">
        <f>MEDIAN('S1 vs S2'!B2:B21)</f>
        <v>15</v>
      </c>
      <c r="C25">
        <f>MEDIAN('S1 vs S2'!C2:C21)</f>
        <v>4.5</v>
      </c>
      <c r="D25">
        <f>MEDIAN('S1 vs S2'!D2:D21)</f>
        <v>105</v>
      </c>
      <c r="E25">
        <f>MEDIAN('S1 vs S2'!E2:E21)</f>
        <v>22</v>
      </c>
      <c r="F25" t="e">
        <f>MEDIAN('S1 vs S2'!F2:F21)</f>
        <v>#NUM!</v>
      </c>
      <c r="G25">
        <f>MEDIAN('S1 vs S2'!G2:G21)</f>
        <v>0</v>
      </c>
      <c r="H25" t="e">
        <f>MEDIAN('S1 vs S2'!H2:H21)</f>
        <v>#NUM!</v>
      </c>
      <c r="I25">
        <f>MEDIAN('S1 vs S2'!I2:I21)</f>
        <v>0</v>
      </c>
      <c r="J25">
        <f>MEDIAN('S1 vs S2'!J2:J21)</f>
        <v>1</v>
      </c>
      <c r="K25">
        <f>MEDIAN('S1 vs S2'!K2:K21)</f>
        <v>0</v>
      </c>
      <c r="L25" t="e">
        <f>MEDIAN('S1 vs S2'!L2:L21)</f>
        <v>#NUM!</v>
      </c>
      <c r="M25">
        <f>MEDIAN('S1 vs S2'!M2:M21)</f>
        <v>0</v>
      </c>
    </row>
    <row r="27" spans="1:13" x14ac:dyDescent="0.35">
      <c r="A27" t="s">
        <v>1102</v>
      </c>
      <c r="B27">
        <f>MIN(B2:B21)</f>
        <v>3</v>
      </c>
      <c r="C27">
        <f t="shared" ref="C27:M27" si="2">MIN(C2:C21)</f>
        <v>0</v>
      </c>
      <c r="D27">
        <f t="shared" si="2"/>
        <v>3</v>
      </c>
      <c r="E27">
        <f t="shared" si="2"/>
        <v>2</v>
      </c>
      <c r="F27">
        <f t="shared" si="2"/>
        <v>0</v>
      </c>
      <c r="G27">
        <f t="shared" si="2"/>
        <v>0</v>
      </c>
      <c r="H27">
        <f t="shared" si="2"/>
        <v>0</v>
      </c>
      <c r="I27">
        <f t="shared" si="2"/>
        <v>0</v>
      </c>
      <c r="J27">
        <f t="shared" si="2"/>
        <v>1</v>
      </c>
      <c r="K27">
        <f t="shared" si="2"/>
        <v>0</v>
      </c>
      <c r="L27">
        <f t="shared" si="2"/>
        <v>0</v>
      </c>
      <c r="M27">
        <f t="shared" si="2"/>
        <v>0</v>
      </c>
    </row>
    <row r="28" spans="1:13" x14ac:dyDescent="0.35">
      <c r="A28" t="s">
        <v>1103</v>
      </c>
      <c r="B28">
        <f>MAX(B2:B21)</f>
        <v>23</v>
      </c>
      <c r="C28">
        <f t="shared" ref="C28:M28" si="3">MAX(C2:C21)</f>
        <v>15</v>
      </c>
      <c r="D28">
        <f t="shared" si="3"/>
        <v>996</v>
      </c>
      <c r="E28">
        <f t="shared" si="3"/>
        <v>89</v>
      </c>
      <c r="F28">
        <f t="shared" si="3"/>
        <v>0</v>
      </c>
      <c r="G28">
        <f t="shared" si="3"/>
        <v>0</v>
      </c>
      <c r="H28">
        <f t="shared" si="3"/>
        <v>0</v>
      </c>
      <c r="I28">
        <f t="shared" si="3"/>
        <v>0</v>
      </c>
      <c r="J28">
        <f t="shared" si="3"/>
        <v>1</v>
      </c>
      <c r="K28">
        <f t="shared" si="3"/>
        <v>1</v>
      </c>
      <c r="L28">
        <f t="shared" si="3"/>
        <v>0</v>
      </c>
      <c r="M28">
        <f t="shared" si="3"/>
        <v>0</v>
      </c>
    </row>
  </sheetData>
  <sortState xmlns:xlrd2="http://schemas.microsoft.com/office/spreadsheetml/2017/richdata2" ref="A2:M21">
    <sortCondition ref="A2:A21"/>
  </sortState>
  <pageMargins left="0.7" right="0.7" top="0.75" bottom="0.75" header="0.3" footer="0.3"/>
  <ignoredErrors>
    <ignoredError sqref="H24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AF90-83CA-4328-B7EB-77584A00BFE8}">
  <dimension ref="A1:O41"/>
  <sheetViews>
    <sheetView workbookViewId="0">
      <selection activeCell="A4" sqref="A4"/>
    </sheetView>
  </sheetViews>
  <sheetFormatPr defaultRowHeight="14.5" x14ac:dyDescent="0.35"/>
  <cols>
    <col min="1" max="1" width="19.90625" bestFit="1" customWidth="1"/>
    <col min="2" max="3" width="14.90625" bestFit="1" customWidth="1"/>
    <col min="4" max="4" width="13.6328125" bestFit="1" customWidth="1"/>
    <col min="7" max="7" width="19.90625" bestFit="1" customWidth="1"/>
    <col min="8" max="8" width="17.6328125" bestFit="1" customWidth="1"/>
    <col min="9" max="9" width="14.90625" bestFit="1" customWidth="1"/>
    <col min="10" max="10" width="13.6328125" bestFit="1" customWidth="1"/>
    <col min="12" max="12" width="19.90625" bestFit="1" customWidth="1"/>
    <col min="13" max="13" width="22.6328125" bestFit="1" customWidth="1"/>
    <col min="14" max="14" width="14.90625" bestFit="1" customWidth="1"/>
  </cols>
  <sheetData>
    <row r="1" spans="1:15" x14ac:dyDescent="0.35">
      <c r="B1" t="s">
        <v>513</v>
      </c>
      <c r="H1" t="s">
        <v>455</v>
      </c>
      <c r="M1" t="s">
        <v>1075</v>
      </c>
    </row>
    <row r="2" spans="1:15" x14ac:dyDescent="0.35">
      <c r="A2" s="1" t="s">
        <v>1061</v>
      </c>
      <c r="B2" s="1" t="s">
        <v>406</v>
      </c>
      <c r="C2" s="1"/>
      <c r="D2" s="1"/>
      <c r="G2" s="1" t="s">
        <v>1062</v>
      </c>
      <c r="H2" s="1" t="s">
        <v>455</v>
      </c>
      <c r="I2" s="1"/>
      <c r="J2" s="1"/>
      <c r="L2" s="3" t="s">
        <v>1063</v>
      </c>
      <c r="M2" s="3" t="s">
        <v>410</v>
      </c>
      <c r="N2" s="3"/>
      <c r="O2" s="3"/>
    </row>
    <row r="3" spans="1:15" x14ac:dyDescent="0.35">
      <c r="A3" s="1" t="s">
        <v>412</v>
      </c>
      <c r="B3" s="1">
        <v>20</v>
      </c>
      <c r="C3" s="1"/>
      <c r="D3" s="1"/>
      <c r="G3" s="1" t="s">
        <v>412</v>
      </c>
      <c r="H3" s="1">
        <v>20</v>
      </c>
      <c r="I3" s="1"/>
      <c r="J3" s="1"/>
      <c r="L3" s="3" t="s">
        <v>412</v>
      </c>
      <c r="M3" s="3">
        <v>20</v>
      </c>
      <c r="N3" s="3"/>
      <c r="O3" s="3"/>
    </row>
    <row r="4" spans="1:15" x14ac:dyDescent="0.35">
      <c r="A4" s="1" t="s">
        <v>413</v>
      </c>
      <c r="B4" s="1" t="s">
        <v>414</v>
      </c>
      <c r="C4" s="1" t="s">
        <v>413</v>
      </c>
      <c r="D4" s="1" t="s">
        <v>415</v>
      </c>
      <c r="G4" s="1" t="s">
        <v>413</v>
      </c>
      <c r="H4" s="1" t="s">
        <v>442</v>
      </c>
      <c r="I4" s="1" t="s">
        <v>413</v>
      </c>
      <c r="J4" s="1" t="s">
        <v>443</v>
      </c>
      <c r="L4" s="3" t="s">
        <v>413</v>
      </c>
      <c r="M4" s="3" t="s">
        <v>484</v>
      </c>
      <c r="N4" s="3" t="s">
        <v>413</v>
      </c>
      <c r="O4" s="3" t="s">
        <v>485</v>
      </c>
    </row>
    <row r="5" spans="1:15" x14ac:dyDescent="0.35">
      <c r="A5" s="1" t="s">
        <v>416</v>
      </c>
      <c r="B5" s="1">
        <v>15</v>
      </c>
      <c r="C5" s="1" t="s">
        <v>416</v>
      </c>
      <c r="D5" s="1" t="s">
        <v>417</v>
      </c>
      <c r="G5" s="1" t="s">
        <v>416</v>
      </c>
      <c r="H5" s="1">
        <v>105</v>
      </c>
      <c r="I5" s="1" t="s">
        <v>416</v>
      </c>
      <c r="J5" s="1" t="s">
        <v>444</v>
      </c>
      <c r="L5" s="3" t="s">
        <v>416</v>
      </c>
      <c r="M5" s="3" t="s">
        <v>486</v>
      </c>
      <c r="N5" s="3" t="s">
        <v>416</v>
      </c>
      <c r="O5" s="3" t="s">
        <v>487</v>
      </c>
    </row>
    <row r="6" spans="1:15" x14ac:dyDescent="0.35">
      <c r="A6" s="1"/>
      <c r="B6" s="1"/>
      <c r="C6" s="1"/>
      <c r="D6" s="1"/>
      <c r="G6" s="1"/>
      <c r="H6" s="1"/>
      <c r="I6" s="1"/>
      <c r="J6" s="1"/>
      <c r="L6" s="3"/>
      <c r="M6" s="3"/>
      <c r="N6" s="3"/>
      <c r="O6" s="3"/>
    </row>
    <row r="7" spans="1:15" x14ac:dyDescent="0.35">
      <c r="A7" s="1" t="s">
        <v>418</v>
      </c>
      <c r="B7" s="1"/>
      <c r="C7" s="1"/>
      <c r="D7" s="1"/>
      <c r="G7" s="1" t="s">
        <v>418</v>
      </c>
      <c r="H7" s="1"/>
      <c r="I7" s="1"/>
      <c r="J7" s="1"/>
      <c r="L7" s="3" t="s">
        <v>418</v>
      </c>
      <c r="M7" s="3"/>
      <c r="N7" s="3"/>
      <c r="O7" s="3"/>
    </row>
    <row r="8" spans="1:15" x14ac:dyDescent="0.35">
      <c r="A8" s="1" t="s">
        <v>419</v>
      </c>
      <c r="B8" s="1" t="s">
        <v>420</v>
      </c>
      <c r="C8" s="1" t="s">
        <v>421</v>
      </c>
      <c r="D8" s="1" t="s">
        <v>422</v>
      </c>
      <c r="G8" s="1" t="s">
        <v>419</v>
      </c>
      <c r="H8" s="1" t="s">
        <v>445</v>
      </c>
      <c r="I8" s="1" t="s">
        <v>421</v>
      </c>
      <c r="J8" s="1" t="s">
        <v>446</v>
      </c>
      <c r="L8" s="3" t="s">
        <v>419</v>
      </c>
      <c r="M8" s="3" t="s">
        <v>488</v>
      </c>
      <c r="N8" s="3" t="s">
        <v>421</v>
      </c>
      <c r="O8" s="3" t="s">
        <v>489</v>
      </c>
    </row>
    <row r="9" spans="1:15" x14ac:dyDescent="0.35">
      <c r="A9" s="1" t="s">
        <v>423</v>
      </c>
      <c r="B9" s="1" t="s">
        <v>424</v>
      </c>
      <c r="C9" s="1" t="s">
        <v>425</v>
      </c>
      <c r="D9" s="1" t="s">
        <v>426</v>
      </c>
      <c r="G9" s="1" t="s">
        <v>423</v>
      </c>
      <c r="H9" s="1" t="s">
        <v>447</v>
      </c>
      <c r="I9" s="1" t="s">
        <v>425</v>
      </c>
      <c r="J9" s="1" t="s">
        <v>448</v>
      </c>
      <c r="L9" s="3" t="s">
        <v>423</v>
      </c>
      <c r="M9" s="3" t="s">
        <v>490</v>
      </c>
      <c r="N9" s="3" t="s">
        <v>425</v>
      </c>
      <c r="O9" s="3" t="s">
        <v>491</v>
      </c>
    </row>
    <row r="10" spans="1:15" x14ac:dyDescent="0.35">
      <c r="A10" s="1" t="s">
        <v>427</v>
      </c>
      <c r="B10" s="1" t="s">
        <v>425</v>
      </c>
      <c r="C10" s="1" t="s">
        <v>428</v>
      </c>
      <c r="D10" s="1"/>
      <c r="G10" s="1" t="s">
        <v>427</v>
      </c>
      <c r="H10" s="1" t="s">
        <v>425</v>
      </c>
      <c r="I10" s="1" t="s">
        <v>449</v>
      </c>
      <c r="J10" s="1"/>
      <c r="L10" s="3" t="s">
        <v>427</v>
      </c>
      <c r="M10" s="3" t="s">
        <v>425</v>
      </c>
      <c r="N10" s="3" t="s">
        <v>492</v>
      </c>
      <c r="O10" s="3"/>
    </row>
    <row r="11" spans="1:15" x14ac:dyDescent="0.35">
      <c r="A11" s="1"/>
      <c r="B11" s="1"/>
      <c r="C11" s="1"/>
      <c r="D11" s="1"/>
      <c r="G11" s="1"/>
      <c r="H11" s="1"/>
      <c r="I11" s="1"/>
      <c r="J11" s="1"/>
      <c r="L11" s="3"/>
      <c r="M11" s="3"/>
      <c r="N11" s="3"/>
      <c r="O11" s="3"/>
    </row>
    <row r="12" spans="1:15" x14ac:dyDescent="0.35">
      <c r="A12" s="1" t="s">
        <v>429</v>
      </c>
      <c r="B12" s="1"/>
      <c r="C12" s="1"/>
      <c r="D12" s="1"/>
      <c r="G12" s="1" t="s">
        <v>429</v>
      </c>
      <c r="H12" s="1"/>
      <c r="I12" s="1"/>
      <c r="J12" s="1"/>
      <c r="L12" s="3" t="s">
        <v>429</v>
      </c>
      <c r="M12" s="3"/>
      <c r="N12" s="3"/>
      <c r="O12" s="3"/>
    </row>
    <row r="13" spans="1:15" x14ac:dyDescent="0.35">
      <c r="A13" s="1" t="s">
        <v>430</v>
      </c>
      <c r="B13" s="1">
        <v>17</v>
      </c>
      <c r="C13" s="1" t="s">
        <v>431</v>
      </c>
      <c r="D13" s="1" t="s">
        <v>432</v>
      </c>
      <c r="G13" s="1" t="s">
        <v>430</v>
      </c>
      <c r="H13" s="1">
        <v>15</v>
      </c>
      <c r="I13" s="1" t="s">
        <v>431</v>
      </c>
      <c r="J13" s="1" t="s">
        <v>450</v>
      </c>
      <c r="L13" s="3" t="s">
        <v>430</v>
      </c>
      <c r="M13" s="3">
        <v>12</v>
      </c>
      <c r="N13" s="3" t="s">
        <v>431</v>
      </c>
      <c r="O13" s="3" t="s">
        <v>465</v>
      </c>
    </row>
    <row r="14" spans="1:15" x14ac:dyDescent="0.35">
      <c r="A14" s="1"/>
      <c r="B14" s="1"/>
      <c r="C14" s="1"/>
      <c r="D14" s="1"/>
      <c r="G14" s="1"/>
      <c r="H14" s="1"/>
      <c r="I14" s="1"/>
      <c r="J14" s="1"/>
      <c r="L14" s="3"/>
      <c r="M14" s="3"/>
      <c r="N14" s="3"/>
      <c r="O14" s="3"/>
    </row>
    <row r="15" spans="1:15" x14ac:dyDescent="0.35">
      <c r="A15" s="1" t="s">
        <v>433</v>
      </c>
      <c r="B15" s="1"/>
      <c r="C15" s="1"/>
      <c r="D15" s="1"/>
      <c r="G15" s="1" t="s">
        <v>433</v>
      </c>
      <c r="H15" s="1"/>
      <c r="I15" s="1"/>
      <c r="J15" s="1"/>
      <c r="L15" s="3" t="s">
        <v>433</v>
      </c>
      <c r="M15" s="3"/>
      <c r="N15" s="3"/>
      <c r="O15" s="3"/>
    </row>
    <row r="16" spans="1:15" x14ac:dyDescent="0.35">
      <c r="A16" s="1" t="s">
        <v>434</v>
      </c>
      <c r="B16" s="1" t="s">
        <v>435</v>
      </c>
      <c r="C16" s="1"/>
      <c r="D16" s="1"/>
      <c r="G16" s="1" t="s">
        <v>434</v>
      </c>
      <c r="H16" s="1">
        <v>185</v>
      </c>
      <c r="I16" s="1"/>
      <c r="J16" s="1"/>
      <c r="L16" s="3" t="s">
        <v>434</v>
      </c>
      <c r="M16" s="3">
        <v>138</v>
      </c>
      <c r="N16" s="3"/>
      <c r="O16" s="3"/>
    </row>
    <row r="17" spans="1:15" x14ac:dyDescent="0.35">
      <c r="A17" s="1" t="s">
        <v>436</v>
      </c>
      <c r="B17" s="1" t="s">
        <v>437</v>
      </c>
      <c r="C17" s="1" t="s">
        <v>431</v>
      </c>
      <c r="D17" s="1" t="s">
        <v>438</v>
      </c>
      <c r="G17" s="1" t="s">
        <v>436</v>
      </c>
      <c r="H17" s="1" t="s">
        <v>451</v>
      </c>
      <c r="I17" s="1" t="s">
        <v>431</v>
      </c>
      <c r="J17" s="1" t="s">
        <v>452</v>
      </c>
      <c r="L17" s="3" t="s">
        <v>436</v>
      </c>
      <c r="M17" s="3" t="s">
        <v>493</v>
      </c>
      <c r="N17" s="3" t="s">
        <v>431</v>
      </c>
      <c r="O17" s="3" t="s">
        <v>494</v>
      </c>
    </row>
    <row r="18" spans="1:15" x14ac:dyDescent="0.35">
      <c r="A18" s="1" t="s">
        <v>439</v>
      </c>
      <c r="B18" s="1" t="s">
        <v>431</v>
      </c>
      <c r="C18" s="1" t="s">
        <v>440</v>
      </c>
      <c r="D18" s="1"/>
      <c r="G18" s="1" t="s">
        <v>439</v>
      </c>
      <c r="H18" s="1" t="s">
        <v>431</v>
      </c>
      <c r="I18" s="1" t="s">
        <v>453</v>
      </c>
      <c r="J18" s="1"/>
      <c r="L18" s="3" t="s">
        <v>439</v>
      </c>
      <c r="M18" s="3" t="s">
        <v>431</v>
      </c>
      <c r="N18" s="3" t="s">
        <v>495</v>
      </c>
      <c r="O18" s="3"/>
    </row>
    <row r="19" spans="1:15" x14ac:dyDescent="0.35">
      <c r="A19" s="1" t="s">
        <v>427</v>
      </c>
      <c r="B19" s="1" t="s">
        <v>431</v>
      </c>
      <c r="C19" s="1" t="s">
        <v>441</v>
      </c>
      <c r="D19" s="1"/>
      <c r="G19" s="1" t="s">
        <v>427</v>
      </c>
      <c r="H19" s="1" t="s">
        <v>431</v>
      </c>
      <c r="I19" s="1" t="s">
        <v>454</v>
      </c>
      <c r="J19" s="1"/>
      <c r="L19" s="3" t="s">
        <v>427</v>
      </c>
      <c r="M19" s="3" t="s">
        <v>431</v>
      </c>
      <c r="N19" s="3" t="s">
        <v>496</v>
      </c>
      <c r="O19" s="3"/>
    </row>
    <row r="23" spans="1:15" x14ac:dyDescent="0.35">
      <c r="B23" t="s">
        <v>1076</v>
      </c>
      <c r="H23" t="s">
        <v>1077</v>
      </c>
    </row>
    <row r="24" spans="1:15" x14ac:dyDescent="0.35">
      <c r="A24" s="2" t="s">
        <v>1064</v>
      </c>
      <c r="B24" s="2" t="s">
        <v>408</v>
      </c>
      <c r="C24" s="2"/>
      <c r="D24" s="2"/>
      <c r="G24" s="3" t="s">
        <v>1065</v>
      </c>
      <c r="H24" s="3" t="s">
        <v>409</v>
      </c>
      <c r="I24" s="3"/>
      <c r="J24" s="3"/>
    </row>
    <row r="25" spans="1:15" x14ac:dyDescent="0.35">
      <c r="A25" s="2" t="s">
        <v>412</v>
      </c>
      <c r="B25" s="2">
        <v>20</v>
      </c>
      <c r="C25" s="2"/>
      <c r="D25" s="2"/>
      <c r="G25" s="3" t="s">
        <v>412</v>
      </c>
      <c r="H25" s="3">
        <v>20</v>
      </c>
      <c r="I25" s="3"/>
      <c r="J25" s="3"/>
    </row>
    <row r="26" spans="1:15" x14ac:dyDescent="0.35">
      <c r="A26" s="2" t="s">
        <v>413</v>
      </c>
      <c r="B26" s="2" t="s">
        <v>456</v>
      </c>
      <c r="C26" s="2" t="s">
        <v>413</v>
      </c>
      <c r="D26" s="2" t="s">
        <v>457</v>
      </c>
      <c r="G26" s="3" t="s">
        <v>413</v>
      </c>
      <c r="H26" s="3" t="s">
        <v>470</v>
      </c>
      <c r="I26" s="3" t="s">
        <v>413</v>
      </c>
      <c r="J26" s="3" t="s">
        <v>471</v>
      </c>
    </row>
    <row r="27" spans="1:15" x14ac:dyDescent="0.35">
      <c r="A27" s="2" t="s">
        <v>416</v>
      </c>
      <c r="B27" s="2" t="s">
        <v>458</v>
      </c>
      <c r="C27" s="2" t="s">
        <v>416</v>
      </c>
      <c r="D27" s="2" t="s">
        <v>459</v>
      </c>
      <c r="G27" s="3" t="s">
        <v>416</v>
      </c>
      <c r="H27" s="3" t="s">
        <v>472</v>
      </c>
      <c r="I27" s="3" t="s">
        <v>416</v>
      </c>
      <c r="J27" s="3" t="s">
        <v>473</v>
      </c>
    </row>
    <row r="28" spans="1:15" x14ac:dyDescent="0.35">
      <c r="A28" s="2"/>
      <c r="B28" s="2"/>
      <c r="C28" s="2"/>
      <c r="D28" s="2"/>
      <c r="G28" s="3"/>
      <c r="H28" s="3"/>
      <c r="I28" s="3"/>
      <c r="J28" s="3"/>
    </row>
    <row r="29" spans="1:15" x14ac:dyDescent="0.35">
      <c r="A29" s="2" t="s">
        <v>418</v>
      </c>
      <c r="B29" s="2"/>
      <c r="C29" s="2"/>
      <c r="D29" s="2"/>
      <c r="G29" s="3" t="s">
        <v>418</v>
      </c>
      <c r="H29" s="3"/>
      <c r="I29" s="3"/>
      <c r="J29" s="3"/>
    </row>
    <row r="30" spans="1:15" x14ac:dyDescent="0.35">
      <c r="A30" s="2" t="s">
        <v>419</v>
      </c>
      <c r="B30" s="2" t="s">
        <v>460</v>
      </c>
      <c r="C30" s="2" t="s">
        <v>421</v>
      </c>
      <c r="D30" s="2" t="s">
        <v>461</v>
      </c>
      <c r="G30" s="3" t="s">
        <v>419</v>
      </c>
      <c r="H30" s="3" t="s">
        <v>474</v>
      </c>
      <c r="I30" s="3" t="s">
        <v>421</v>
      </c>
      <c r="J30" s="3" t="s">
        <v>475</v>
      </c>
    </row>
    <row r="31" spans="1:15" x14ac:dyDescent="0.35">
      <c r="A31" s="2" t="s">
        <v>423</v>
      </c>
      <c r="B31" s="2" t="s">
        <v>462</v>
      </c>
      <c r="C31" s="2" t="s">
        <v>425</v>
      </c>
      <c r="D31" s="2" t="s">
        <v>463</v>
      </c>
      <c r="G31" s="3" t="s">
        <v>423</v>
      </c>
      <c r="H31" s="3" t="s">
        <v>476</v>
      </c>
      <c r="I31" s="3" t="s">
        <v>425</v>
      </c>
      <c r="J31" s="3" t="s">
        <v>477</v>
      </c>
    </row>
    <row r="32" spans="1:15" x14ac:dyDescent="0.35">
      <c r="A32" s="2" t="s">
        <v>427</v>
      </c>
      <c r="B32" s="2" t="s">
        <v>425</v>
      </c>
      <c r="C32" s="2" t="s">
        <v>464</v>
      </c>
      <c r="D32" s="2"/>
      <c r="G32" s="3" t="s">
        <v>427</v>
      </c>
      <c r="H32" s="3" t="s">
        <v>425</v>
      </c>
      <c r="I32" s="3" t="s">
        <v>478</v>
      </c>
      <c r="J32" s="3"/>
    </row>
    <row r="33" spans="1:10" x14ac:dyDescent="0.35">
      <c r="A33" s="2"/>
      <c r="B33" s="2"/>
      <c r="C33" s="2"/>
      <c r="D33" s="2"/>
      <c r="G33" s="3"/>
      <c r="H33" s="3"/>
      <c r="I33" s="3"/>
      <c r="J33" s="3"/>
    </row>
    <row r="34" spans="1:10" x14ac:dyDescent="0.35">
      <c r="A34" s="2" t="s">
        <v>429</v>
      </c>
      <c r="B34" s="2"/>
      <c r="C34" s="2"/>
      <c r="D34" s="2"/>
      <c r="G34" s="3" t="s">
        <v>429</v>
      </c>
      <c r="H34" s="3"/>
      <c r="I34" s="3"/>
      <c r="J34" s="3"/>
    </row>
    <row r="35" spans="1:10" x14ac:dyDescent="0.35">
      <c r="A35" s="2" t="s">
        <v>430</v>
      </c>
      <c r="B35" s="2">
        <v>12</v>
      </c>
      <c r="C35" s="2" t="s">
        <v>431</v>
      </c>
      <c r="D35" s="2" t="s">
        <v>465</v>
      </c>
      <c r="G35" s="3" t="s">
        <v>430</v>
      </c>
      <c r="H35" s="3">
        <v>14</v>
      </c>
      <c r="I35" s="3" t="s">
        <v>431</v>
      </c>
      <c r="J35" s="3" t="s">
        <v>479</v>
      </c>
    </row>
    <row r="36" spans="1:10" x14ac:dyDescent="0.35">
      <c r="A36" s="2"/>
      <c r="B36" s="2"/>
      <c r="C36" s="2"/>
      <c r="D36" s="2"/>
      <c r="G36" s="3"/>
      <c r="H36" s="3"/>
      <c r="I36" s="3"/>
      <c r="J36" s="3"/>
    </row>
    <row r="37" spans="1:10" x14ac:dyDescent="0.35">
      <c r="A37" s="2" t="s">
        <v>433</v>
      </c>
      <c r="B37" s="2"/>
      <c r="C37" s="2"/>
      <c r="D37" s="2"/>
      <c r="G37" s="3" t="s">
        <v>433</v>
      </c>
      <c r="H37" s="3"/>
      <c r="I37" s="3"/>
      <c r="J37" s="3"/>
    </row>
    <row r="38" spans="1:10" x14ac:dyDescent="0.35">
      <c r="A38" s="2" t="s">
        <v>434</v>
      </c>
      <c r="B38" s="2">
        <v>148</v>
      </c>
      <c r="C38" s="2"/>
      <c r="D38" s="2"/>
      <c r="G38" s="3" t="s">
        <v>434</v>
      </c>
      <c r="H38" s="3">
        <v>172</v>
      </c>
      <c r="I38" s="3"/>
      <c r="J38" s="3"/>
    </row>
    <row r="39" spans="1:10" x14ac:dyDescent="0.35">
      <c r="A39" s="2" t="s">
        <v>436</v>
      </c>
      <c r="B39" s="2" t="s">
        <v>466</v>
      </c>
      <c r="C39" s="2" t="s">
        <v>431</v>
      </c>
      <c r="D39" s="2" t="s">
        <v>467</v>
      </c>
      <c r="G39" s="3" t="s">
        <v>436</v>
      </c>
      <c r="H39" s="3" t="s">
        <v>480</v>
      </c>
      <c r="I39" s="3" t="s">
        <v>431</v>
      </c>
      <c r="J39" s="3" t="s">
        <v>481</v>
      </c>
    </row>
    <row r="40" spans="1:10" x14ac:dyDescent="0.35">
      <c r="A40" s="2" t="s">
        <v>439</v>
      </c>
      <c r="B40" s="2" t="s">
        <v>431</v>
      </c>
      <c r="C40" s="2" t="s">
        <v>468</v>
      </c>
      <c r="D40" s="2"/>
      <c r="G40" s="3" t="s">
        <v>439</v>
      </c>
      <c r="H40" s="3" t="s">
        <v>431</v>
      </c>
      <c r="I40" s="3" t="s">
        <v>482</v>
      </c>
      <c r="J40" s="3"/>
    </row>
    <row r="41" spans="1:10" x14ac:dyDescent="0.35">
      <c r="A41" s="2" t="s">
        <v>427</v>
      </c>
      <c r="B41" s="2" t="s">
        <v>431</v>
      </c>
      <c r="C41" s="2" t="s">
        <v>469</v>
      </c>
      <c r="D41" s="2"/>
      <c r="G41" s="3" t="s">
        <v>427</v>
      </c>
      <c r="H41" s="3" t="s">
        <v>431</v>
      </c>
      <c r="I41" s="3" t="s">
        <v>483</v>
      </c>
      <c r="J4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AB1A-66B7-42FC-9B19-A0235B23FBFE}">
  <dimension ref="A1:F134"/>
  <sheetViews>
    <sheetView tabSelected="1" topLeftCell="A9" workbookViewId="0">
      <selection activeCell="A22" sqref="A22:D23"/>
    </sheetView>
  </sheetViews>
  <sheetFormatPr defaultColWidth="23" defaultRowHeight="14.5" x14ac:dyDescent="0.35"/>
  <cols>
    <col min="1" max="1" width="22.90625" bestFit="1" customWidth="1"/>
    <col min="2" max="2" width="9" bestFit="1" customWidth="1"/>
    <col min="3" max="3" width="9.36328125" bestFit="1" customWidth="1"/>
    <col min="4" max="4" width="11.90625" bestFit="1" customWidth="1"/>
    <col min="5" max="6" width="6.81640625" bestFit="1" customWidth="1"/>
  </cols>
  <sheetData>
    <row r="1" spans="1:6" x14ac:dyDescent="0.35">
      <c r="A1" t="s">
        <v>575</v>
      </c>
      <c r="B1" t="s">
        <v>576</v>
      </c>
      <c r="C1" t="s">
        <v>577</v>
      </c>
      <c r="D1" t="s">
        <v>578</v>
      </c>
      <c r="E1" t="s">
        <v>747</v>
      </c>
      <c r="F1" t="s">
        <v>748</v>
      </c>
    </row>
    <row r="2" spans="1:6" x14ac:dyDescent="0.35">
      <c r="A2" s="7" t="s">
        <v>579</v>
      </c>
      <c r="B2" s="7" t="s">
        <v>749</v>
      </c>
      <c r="C2" s="7" t="s">
        <v>750</v>
      </c>
      <c r="D2" s="5" t="s">
        <v>750</v>
      </c>
      <c r="E2" s="7" t="s">
        <v>751</v>
      </c>
      <c r="F2" t="s">
        <v>752</v>
      </c>
    </row>
    <row r="3" spans="1:6" x14ac:dyDescent="0.35">
      <c r="A3" s="7" t="s">
        <v>580</v>
      </c>
      <c r="B3" s="7" t="s">
        <v>753</v>
      </c>
      <c r="C3" s="7" t="s">
        <v>754</v>
      </c>
      <c r="D3" s="5" t="s">
        <v>755</v>
      </c>
      <c r="E3" s="7" t="s">
        <v>756</v>
      </c>
      <c r="F3">
        <v>52</v>
      </c>
    </row>
    <row r="4" spans="1:6" x14ac:dyDescent="0.35">
      <c r="A4" s="7" t="s">
        <v>581</v>
      </c>
      <c r="B4" s="7" t="s">
        <v>757</v>
      </c>
      <c r="C4" s="7" t="s">
        <v>758</v>
      </c>
      <c r="D4" s="5" t="s">
        <v>759</v>
      </c>
      <c r="E4" s="7" t="s">
        <v>760</v>
      </c>
      <c r="F4" t="s">
        <v>761</v>
      </c>
    </row>
    <row r="5" spans="1:6" x14ac:dyDescent="0.35">
      <c r="A5" s="7" t="s">
        <v>593</v>
      </c>
      <c r="B5" s="7" t="s">
        <v>762</v>
      </c>
      <c r="C5" s="7" t="s">
        <v>763</v>
      </c>
      <c r="D5" s="5" t="s">
        <v>764</v>
      </c>
      <c r="E5" s="7" t="s">
        <v>604</v>
      </c>
      <c r="F5" t="s">
        <v>611</v>
      </c>
    </row>
    <row r="6" spans="1:6" x14ac:dyDescent="0.35">
      <c r="A6" s="7" t="s">
        <v>586</v>
      </c>
      <c r="B6" s="7" t="s">
        <v>765</v>
      </c>
      <c r="C6" s="7" t="s">
        <v>766</v>
      </c>
      <c r="D6" s="5" t="s">
        <v>767</v>
      </c>
      <c r="E6" s="7" t="s">
        <v>768</v>
      </c>
      <c r="F6" t="s">
        <v>607</v>
      </c>
    </row>
    <row r="7" spans="1:6" x14ac:dyDescent="0.35">
      <c r="A7" t="s">
        <v>583</v>
      </c>
      <c r="B7" t="s">
        <v>256</v>
      </c>
      <c r="C7" t="s">
        <v>769</v>
      </c>
      <c r="D7" t="s">
        <v>770</v>
      </c>
      <c r="E7" t="s">
        <v>620</v>
      </c>
      <c r="F7" t="s">
        <v>771</v>
      </c>
    </row>
    <row r="8" spans="1:6" x14ac:dyDescent="0.35">
      <c r="A8" t="s">
        <v>584</v>
      </c>
      <c r="B8" t="s">
        <v>772</v>
      </c>
      <c r="C8" t="s">
        <v>773</v>
      </c>
      <c r="D8" t="s">
        <v>774</v>
      </c>
      <c r="E8" t="s">
        <v>775</v>
      </c>
      <c r="F8" t="s">
        <v>776</v>
      </c>
    </row>
    <row r="9" spans="1:6" x14ac:dyDescent="0.35">
      <c r="A9" t="s">
        <v>582</v>
      </c>
      <c r="B9" t="s">
        <v>254</v>
      </c>
      <c r="C9" t="s">
        <v>777</v>
      </c>
      <c r="D9" t="s">
        <v>778</v>
      </c>
      <c r="E9" t="s">
        <v>779</v>
      </c>
      <c r="F9" t="s">
        <v>617</v>
      </c>
    </row>
    <row r="10" spans="1:6" x14ac:dyDescent="0.35">
      <c r="A10" t="s">
        <v>592</v>
      </c>
      <c r="B10" t="s">
        <v>780</v>
      </c>
      <c r="C10" t="s">
        <v>781</v>
      </c>
      <c r="D10" t="s">
        <v>782</v>
      </c>
      <c r="E10" t="s">
        <v>783</v>
      </c>
      <c r="F10" t="s">
        <v>784</v>
      </c>
    </row>
    <row r="11" spans="1:6" x14ac:dyDescent="0.35">
      <c r="A11" t="s">
        <v>595</v>
      </c>
      <c r="B11" t="s">
        <v>785</v>
      </c>
      <c r="C11" t="s">
        <v>351</v>
      </c>
      <c r="D11" t="s">
        <v>786</v>
      </c>
      <c r="E11" t="s">
        <v>787</v>
      </c>
      <c r="F11">
        <v>0</v>
      </c>
    </row>
    <row r="12" spans="1:6" x14ac:dyDescent="0.35">
      <c r="A12" t="s">
        <v>599</v>
      </c>
      <c r="B12" t="s">
        <v>788</v>
      </c>
      <c r="C12" t="s">
        <v>789</v>
      </c>
      <c r="D12" t="s">
        <v>790</v>
      </c>
      <c r="E12" t="s">
        <v>606</v>
      </c>
      <c r="F12" t="s">
        <v>611</v>
      </c>
    </row>
    <row r="13" spans="1:6" x14ac:dyDescent="0.35">
      <c r="A13" t="s">
        <v>588</v>
      </c>
      <c r="B13" t="s">
        <v>791</v>
      </c>
      <c r="C13" t="s">
        <v>792</v>
      </c>
      <c r="D13" t="s">
        <v>793</v>
      </c>
      <c r="E13" t="s">
        <v>589</v>
      </c>
      <c r="F13">
        <v>0</v>
      </c>
    </row>
    <row r="14" spans="1:6" x14ac:dyDescent="0.35">
      <c r="A14" t="s">
        <v>597</v>
      </c>
      <c r="B14" t="s">
        <v>794</v>
      </c>
      <c r="C14" t="s">
        <v>795</v>
      </c>
      <c r="D14" t="s">
        <v>796</v>
      </c>
      <c r="E14" t="s">
        <v>611</v>
      </c>
      <c r="F14" t="s">
        <v>797</v>
      </c>
    </row>
    <row r="15" spans="1:6" x14ac:dyDescent="0.35">
      <c r="A15" t="s">
        <v>601</v>
      </c>
      <c r="B15" t="s">
        <v>798</v>
      </c>
      <c r="C15" t="s">
        <v>799</v>
      </c>
      <c r="D15" t="s">
        <v>800</v>
      </c>
      <c r="E15" t="s">
        <v>587</v>
      </c>
      <c r="F15" t="s">
        <v>591</v>
      </c>
    </row>
    <row r="16" spans="1:6" x14ac:dyDescent="0.35">
      <c r="A16" t="s">
        <v>590</v>
      </c>
      <c r="B16" t="s">
        <v>801</v>
      </c>
      <c r="C16" t="s">
        <v>225</v>
      </c>
      <c r="D16" t="s">
        <v>802</v>
      </c>
      <c r="E16" t="s">
        <v>587</v>
      </c>
      <c r="F16" t="s">
        <v>783</v>
      </c>
    </row>
    <row r="17" spans="1:6" x14ac:dyDescent="0.35">
      <c r="A17" t="s">
        <v>608</v>
      </c>
      <c r="B17" t="s">
        <v>803</v>
      </c>
      <c r="C17" t="s">
        <v>804</v>
      </c>
      <c r="D17" t="s">
        <v>805</v>
      </c>
      <c r="E17" t="s">
        <v>806</v>
      </c>
      <c r="F17" t="s">
        <v>797</v>
      </c>
    </row>
    <row r="18" spans="1:6" x14ac:dyDescent="0.35">
      <c r="A18" t="s">
        <v>603</v>
      </c>
      <c r="B18" t="s">
        <v>807</v>
      </c>
      <c r="C18" t="s">
        <v>808</v>
      </c>
      <c r="D18" t="s">
        <v>809</v>
      </c>
      <c r="E18" t="s">
        <v>784</v>
      </c>
      <c r="F18" t="s">
        <v>607</v>
      </c>
    </row>
    <row r="19" spans="1:6" x14ac:dyDescent="0.35">
      <c r="A19" t="s">
        <v>612</v>
      </c>
      <c r="B19" t="s">
        <v>810</v>
      </c>
      <c r="C19" t="s">
        <v>811</v>
      </c>
      <c r="D19" t="s">
        <v>812</v>
      </c>
      <c r="E19" t="s">
        <v>53</v>
      </c>
      <c r="F19" t="s">
        <v>806</v>
      </c>
    </row>
    <row r="20" spans="1:6" x14ac:dyDescent="0.35">
      <c r="A20" t="s">
        <v>600</v>
      </c>
      <c r="B20" t="s">
        <v>813</v>
      </c>
      <c r="C20" t="s">
        <v>814</v>
      </c>
      <c r="D20" t="s">
        <v>815</v>
      </c>
      <c r="E20" t="s">
        <v>613</v>
      </c>
      <c r="F20" t="s">
        <v>585</v>
      </c>
    </row>
    <row r="21" spans="1:6" x14ac:dyDescent="0.35">
      <c r="A21" t="s">
        <v>614</v>
      </c>
      <c r="B21" t="s">
        <v>816</v>
      </c>
      <c r="C21" t="s">
        <v>817</v>
      </c>
      <c r="D21" t="s">
        <v>818</v>
      </c>
      <c r="E21">
        <v>0</v>
      </c>
      <c r="F21" t="s">
        <v>598</v>
      </c>
    </row>
    <row r="22" spans="1:6" x14ac:dyDescent="0.35">
      <c r="A22" t="s">
        <v>609</v>
      </c>
      <c r="B22" t="s">
        <v>819</v>
      </c>
      <c r="C22" t="s">
        <v>820</v>
      </c>
      <c r="D22" t="s">
        <v>821</v>
      </c>
      <c r="E22" t="s">
        <v>797</v>
      </c>
      <c r="F22" t="s">
        <v>624</v>
      </c>
    </row>
    <row r="23" spans="1:6" x14ac:dyDescent="0.35">
      <c r="A23" t="s">
        <v>605</v>
      </c>
      <c r="B23" t="s">
        <v>822</v>
      </c>
      <c r="C23" t="s">
        <v>823</v>
      </c>
      <c r="D23" t="s">
        <v>824</v>
      </c>
      <c r="E23" t="s">
        <v>604</v>
      </c>
      <c r="F23" t="s">
        <v>825</v>
      </c>
    </row>
    <row r="24" spans="1:6" x14ac:dyDescent="0.35">
      <c r="A24" t="s">
        <v>610</v>
      </c>
      <c r="B24" t="s">
        <v>826</v>
      </c>
      <c r="C24" t="s">
        <v>827</v>
      </c>
      <c r="D24" t="s">
        <v>828</v>
      </c>
      <c r="E24" t="s">
        <v>613</v>
      </c>
      <c r="F24" t="s">
        <v>598</v>
      </c>
    </row>
    <row r="25" spans="1:6" x14ac:dyDescent="0.35">
      <c r="A25" t="s">
        <v>618</v>
      </c>
      <c r="B25" t="s">
        <v>829</v>
      </c>
      <c r="C25" t="s">
        <v>830</v>
      </c>
      <c r="D25">
        <v>86</v>
      </c>
      <c r="E25" t="s">
        <v>831</v>
      </c>
      <c r="F25" t="s">
        <v>624</v>
      </c>
    </row>
    <row r="26" spans="1:6" x14ac:dyDescent="0.35">
      <c r="A26" t="s">
        <v>642</v>
      </c>
      <c r="B26" t="s">
        <v>832</v>
      </c>
      <c r="C26" t="s">
        <v>833</v>
      </c>
      <c r="D26" t="s">
        <v>834</v>
      </c>
      <c r="E26" t="s">
        <v>607</v>
      </c>
      <c r="F26">
        <v>0</v>
      </c>
    </row>
    <row r="27" spans="1:6" x14ac:dyDescent="0.35">
      <c r="A27" t="s">
        <v>615</v>
      </c>
      <c r="B27" t="s">
        <v>835</v>
      </c>
      <c r="C27" t="s">
        <v>836</v>
      </c>
      <c r="D27" t="s">
        <v>837</v>
      </c>
      <c r="E27" t="s">
        <v>598</v>
      </c>
      <c r="F27">
        <v>0</v>
      </c>
    </row>
    <row r="28" spans="1:6" x14ac:dyDescent="0.35">
      <c r="A28" t="s">
        <v>619</v>
      </c>
      <c r="B28" t="s">
        <v>838</v>
      </c>
      <c r="C28" t="s">
        <v>839</v>
      </c>
      <c r="D28" t="s">
        <v>840</v>
      </c>
      <c r="E28" t="s">
        <v>58</v>
      </c>
      <c r="F28" t="s">
        <v>624</v>
      </c>
    </row>
    <row r="29" spans="1:6" x14ac:dyDescent="0.35">
      <c r="A29" t="s">
        <v>628</v>
      </c>
      <c r="B29" t="s">
        <v>841</v>
      </c>
      <c r="C29" t="s">
        <v>842</v>
      </c>
      <c r="D29" t="s">
        <v>843</v>
      </c>
      <c r="E29">
        <v>0</v>
      </c>
      <c r="F29" t="s">
        <v>58</v>
      </c>
    </row>
    <row r="30" spans="1:6" x14ac:dyDescent="0.35">
      <c r="A30" t="s">
        <v>616</v>
      </c>
      <c r="B30" t="s">
        <v>844</v>
      </c>
      <c r="C30" t="s">
        <v>845</v>
      </c>
      <c r="D30" t="s">
        <v>846</v>
      </c>
      <c r="E30" t="s">
        <v>825</v>
      </c>
      <c r="F30" t="s">
        <v>58</v>
      </c>
    </row>
    <row r="31" spans="1:6" x14ac:dyDescent="0.35">
      <c r="A31" t="s">
        <v>633</v>
      </c>
      <c r="B31" t="s">
        <v>847</v>
      </c>
      <c r="C31" t="s">
        <v>848</v>
      </c>
      <c r="D31" t="s">
        <v>849</v>
      </c>
      <c r="E31" t="s">
        <v>602</v>
      </c>
      <c r="F31">
        <v>0</v>
      </c>
    </row>
    <row r="32" spans="1:6" x14ac:dyDescent="0.35">
      <c r="A32" t="s">
        <v>634</v>
      </c>
      <c r="B32" t="s">
        <v>850</v>
      </c>
      <c r="C32" t="s">
        <v>851</v>
      </c>
      <c r="D32" t="s">
        <v>852</v>
      </c>
      <c r="E32" t="s">
        <v>624</v>
      </c>
      <c r="F32" t="s">
        <v>624</v>
      </c>
    </row>
    <row r="33" spans="1:6" x14ac:dyDescent="0.35">
      <c r="A33" t="s">
        <v>626</v>
      </c>
      <c r="B33" t="s">
        <v>853</v>
      </c>
      <c r="C33" t="s">
        <v>854</v>
      </c>
      <c r="D33">
        <v>91</v>
      </c>
      <c r="E33" t="s">
        <v>598</v>
      </c>
      <c r="F33" t="s">
        <v>53</v>
      </c>
    </row>
    <row r="34" spans="1:6" x14ac:dyDescent="0.35">
      <c r="A34" t="s">
        <v>627</v>
      </c>
      <c r="B34" t="s">
        <v>855</v>
      </c>
      <c r="C34" t="s">
        <v>856</v>
      </c>
      <c r="D34" t="s">
        <v>857</v>
      </c>
      <c r="E34" t="s">
        <v>602</v>
      </c>
      <c r="F34">
        <v>0</v>
      </c>
    </row>
    <row r="35" spans="1:6" x14ac:dyDescent="0.35">
      <c r="A35" t="s">
        <v>625</v>
      </c>
      <c r="B35" t="s">
        <v>858</v>
      </c>
      <c r="C35" t="s">
        <v>859</v>
      </c>
      <c r="D35" t="s">
        <v>860</v>
      </c>
      <c r="E35" t="s">
        <v>624</v>
      </c>
      <c r="F35" t="s">
        <v>624</v>
      </c>
    </row>
    <row r="36" spans="1:6" x14ac:dyDescent="0.35">
      <c r="A36" t="s">
        <v>622</v>
      </c>
      <c r="B36" t="s">
        <v>861</v>
      </c>
      <c r="C36" t="s">
        <v>862</v>
      </c>
      <c r="D36" t="s">
        <v>632</v>
      </c>
      <c r="E36" t="s">
        <v>607</v>
      </c>
      <c r="F36" t="s">
        <v>596</v>
      </c>
    </row>
    <row r="37" spans="1:6" x14ac:dyDescent="0.35">
      <c r="A37" t="s">
        <v>644</v>
      </c>
      <c r="B37" t="s">
        <v>863</v>
      </c>
      <c r="C37" t="s">
        <v>864</v>
      </c>
      <c r="D37" t="s">
        <v>865</v>
      </c>
      <c r="E37" t="s">
        <v>607</v>
      </c>
      <c r="F37" t="s">
        <v>594</v>
      </c>
    </row>
    <row r="38" spans="1:6" x14ac:dyDescent="0.35">
      <c r="A38" t="s">
        <v>641</v>
      </c>
      <c r="B38" t="s">
        <v>866</v>
      </c>
      <c r="C38" t="s">
        <v>867</v>
      </c>
      <c r="D38" t="s">
        <v>868</v>
      </c>
      <c r="E38">
        <v>0</v>
      </c>
      <c r="F38" t="s">
        <v>596</v>
      </c>
    </row>
    <row r="39" spans="1:6" x14ac:dyDescent="0.35">
      <c r="A39" t="s">
        <v>660</v>
      </c>
      <c r="B39" t="s">
        <v>869</v>
      </c>
      <c r="C39" t="s">
        <v>870</v>
      </c>
      <c r="D39" t="s">
        <v>871</v>
      </c>
      <c r="E39" t="s">
        <v>594</v>
      </c>
      <c r="F39">
        <v>0</v>
      </c>
    </row>
    <row r="40" spans="1:6" x14ac:dyDescent="0.35">
      <c r="A40" t="s">
        <v>630</v>
      </c>
      <c r="B40" t="s">
        <v>872</v>
      </c>
      <c r="C40" t="s">
        <v>873</v>
      </c>
      <c r="D40" t="s">
        <v>874</v>
      </c>
      <c r="E40" t="s">
        <v>620</v>
      </c>
      <c r="F40" t="s">
        <v>806</v>
      </c>
    </row>
    <row r="41" spans="1:6" x14ac:dyDescent="0.35">
      <c r="A41" t="s">
        <v>662</v>
      </c>
      <c r="B41" t="s">
        <v>875</v>
      </c>
      <c r="C41" t="s">
        <v>876</v>
      </c>
      <c r="D41" t="s">
        <v>877</v>
      </c>
      <c r="E41" t="s">
        <v>594</v>
      </c>
      <c r="F41">
        <v>0</v>
      </c>
    </row>
    <row r="42" spans="1:6" x14ac:dyDescent="0.35">
      <c r="A42" t="s">
        <v>621</v>
      </c>
      <c r="B42" t="s">
        <v>878</v>
      </c>
      <c r="C42" t="s">
        <v>879</v>
      </c>
      <c r="D42" t="s">
        <v>880</v>
      </c>
      <c r="E42" t="s">
        <v>594</v>
      </c>
      <c r="F42" t="s">
        <v>594</v>
      </c>
    </row>
    <row r="43" spans="1:6" x14ac:dyDescent="0.35">
      <c r="A43" t="s">
        <v>631</v>
      </c>
      <c r="B43" t="s">
        <v>881</v>
      </c>
      <c r="C43" t="s">
        <v>882</v>
      </c>
      <c r="D43" t="s">
        <v>883</v>
      </c>
      <c r="E43" t="s">
        <v>596</v>
      </c>
      <c r="F43">
        <v>0</v>
      </c>
    </row>
    <row r="44" spans="1:6" x14ac:dyDescent="0.35">
      <c r="A44" t="s">
        <v>637</v>
      </c>
      <c r="B44" t="s">
        <v>884</v>
      </c>
      <c r="C44" t="s">
        <v>885</v>
      </c>
      <c r="D44" t="s">
        <v>886</v>
      </c>
      <c r="E44" t="s">
        <v>594</v>
      </c>
      <c r="F44" t="s">
        <v>613</v>
      </c>
    </row>
    <row r="45" spans="1:6" x14ac:dyDescent="0.35">
      <c r="A45" t="s">
        <v>629</v>
      </c>
      <c r="B45" t="s">
        <v>887</v>
      </c>
      <c r="C45" t="s">
        <v>888</v>
      </c>
      <c r="D45" t="s">
        <v>889</v>
      </c>
      <c r="E45" t="s">
        <v>594</v>
      </c>
      <c r="F45" t="s">
        <v>624</v>
      </c>
    </row>
    <row r="46" spans="1:6" x14ac:dyDescent="0.35">
      <c r="A46" t="s">
        <v>639</v>
      </c>
      <c r="B46" t="s">
        <v>890</v>
      </c>
      <c r="C46" t="s">
        <v>891</v>
      </c>
      <c r="D46" t="s">
        <v>892</v>
      </c>
      <c r="E46" t="s">
        <v>596</v>
      </c>
      <c r="F46">
        <v>0</v>
      </c>
    </row>
    <row r="47" spans="1:6" x14ac:dyDescent="0.35">
      <c r="A47" t="s">
        <v>638</v>
      </c>
      <c r="B47" t="s">
        <v>893</v>
      </c>
      <c r="C47" t="s">
        <v>894</v>
      </c>
      <c r="D47" t="s">
        <v>895</v>
      </c>
      <c r="E47" t="s">
        <v>624</v>
      </c>
      <c r="F47" t="s">
        <v>620</v>
      </c>
    </row>
    <row r="48" spans="1:6" x14ac:dyDescent="0.35">
      <c r="A48" t="s">
        <v>623</v>
      </c>
      <c r="B48" t="s">
        <v>896</v>
      </c>
      <c r="C48" t="s">
        <v>897</v>
      </c>
      <c r="D48" t="s">
        <v>898</v>
      </c>
      <c r="E48" t="s">
        <v>594</v>
      </c>
      <c r="F48" t="s">
        <v>607</v>
      </c>
    </row>
    <row r="49" spans="1:6" x14ac:dyDescent="0.35">
      <c r="A49" t="s">
        <v>635</v>
      </c>
      <c r="B49" t="s">
        <v>899</v>
      </c>
      <c r="C49" t="s">
        <v>900</v>
      </c>
      <c r="D49" t="s">
        <v>901</v>
      </c>
      <c r="E49" t="s">
        <v>594</v>
      </c>
      <c r="F49" t="s">
        <v>624</v>
      </c>
    </row>
    <row r="50" spans="1:6" x14ac:dyDescent="0.35">
      <c r="A50" t="s">
        <v>636</v>
      </c>
      <c r="B50" t="s">
        <v>902</v>
      </c>
      <c r="C50" t="s">
        <v>903</v>
      </c>
      <c r="D50" t="s">
        <v>904</v>
      </c>
      <c r="E50" t="s">
        <v>594</v>
      </c>
      <c r="F50" t="s">
        <v>624</v>
      </c>
    </row>
    <row r="51" spans="1:6" x14ac:dyDescent="0.35">
      <c r="A51" t="s">
        <v>648</v>
      </c>
      <c r="B51" t="s">
        <v>905</v>
      </c>
      <c r="C51" t="s">
        <v>906</v>
      </c>
      <c r="D51" t="s">
        <v>907</v>
      </c>
      <c r="E51" t="s">
        <v>602</v>
      </c>
      <c r="F51" t="s">
        <v>607</v>
      </c>
    </row>
    <row r="52" spans="1:6" x14ac:dyDescent="0.35">
      <c r="A52" t="s">
        <v>643</v>
      </c>
      <c r="B52" t="s">
        <v>908</v>
      </c>
      <c r="C52" t="s">
        <v>909</v>
      </c>
      <c r="D52" t="s">
        <v>910</v>
      </c>
      <c r="E52" t="s">
        <v>594</v>
      </c>
      <c r="F52" t="s">
        <v>624</v>
      </c>
    </row>
    <row r="53" spans="1:6" x14ac:dyDescent="0.35">
      <c r="A53" t="s">
        <v>646</v>
      </c>
      <c r="B53" t="s">
        <v>45</v>
      </c>
      <c r="C53" t="s">
        <v>911</v>
      </c>
      <c r="D53" t="s">
        <v>912</v>
      </c>
      <c r="E53" t="s">
        <v>624</v>
      </c>
      <c r="F53">
        <v>0</v>
      </c>
    </row>
    <row r="54" spans="1:6" x14ac:dyDescent="0.35">
      <c r="A54" t="s">
        <v>647</v>
      </c>
      <c r="B54" t="s">
        <v>45</v>
      </c>
      <c r="C54" t="s">
        <v>911</v>
      </c>
      <c r="D54" t="s">
        <v>913</v>
      </c>
      <c r="E54" t="s">
        <v>624</v>
      </c>
      <c r="F54">
        <v>0</v>
      </c>
    </row>
    <row r="55" spans="1:6" x14ac:dyDescent="0.35">
      <c r="A55" t="s">
        <v>645</v>
      </c>
      <c r="B55" t="s">
        <v>914</v>
      </c>
      <c r="C55" t="s">
        <v>915</v>
      </c>
      <c r="D55" t="s">
        <v>916</v>
      </c>
      <c r="E55" t="s">
        <v>607</v>
      </c>
      <c r="F55" t="s">
        <v>594</v>
      </c>
    </row>
    <row r="56" spans="1:6" x14ac:dyDescent="0.35">
      <c r="A56" t="s">
        <v>640</v>
      </c>
      <c r="B56" t="s">
        <v>917</v>
      </c>
      <c r="C56" t="s">
        <v>918</v>
      </c>
      <c r="D56" t="s">
        <v>919</v>
      </c>
      <c r="E56">
        <v>0</v>
      </c>
      <c r="F56" t="s">
        <v>594</v>
      </c>
    </row>
    <row r="57" spans="1:6" x14ac:dyDescent="0.35">
      <c r="A57" t="s">
        <v>659</v>
      </c>
      <c r="B57" t="s">
        <v>920</v>
      </c>
      <c r="C57" t="s">
        <v>921</v>
      </c>
      <c r="D57" t="s">
        <v>922</v>
      </c>
      <c r="E57" t="s">
        <v>624</v>
      </c>
      <c r="F57">
        <v>0</v>
      </c>
    </row>
    <row r="58" spans="1:6" x14ac:dyDescent="0.35">
      <c r="A58" t="s">
        <v>650</v>
      </c>
      <c r="B58" t="s">
        <v>923</v>
      </c>
      <c r="C58" t="s">
        <v>924</v>
      </c>
      <c r="D58" t="s">
        <v>925</v>
      </c>
      <c r="E58" t="s">
        <v>624</v>
      </c>
      <c r="F58">
        <v>0</v>
      </c>
    </row>
    <row r="59" spans="1:6" x14ac:dyDescent="0.35">
      <c r="A59" t="s">
        <v>649</v>
      </c>
      <c r="B59" t="s">
        <v>923</v>
      </c>
      <c r="C59" t="s">
        <v>926</v>
      </c>
      <c r="D59" t="s">
        <v>927</v>
      </c>
      <c r="E59" t="s">
        <v>607</v>
      </c>
      <c r="F59" t="s">
        <v>594</v>
      </c>
    </row>
    <row r="60" spans="1:6" x14ac:dyDescent="0.35">
      <c r="A60" t="s">
        <v>652</v>
      </c>
      <c r="B60" t="s">
        <v>928</v>
      </c>
      <c r="C60" t="s">
        <v>929</v>
      </c>
      <c r="D60" t="s">
        <v>930</v>
      </c>
      <c r="E60" t="s">
        <v>624</v>
      </c>
      <c r="F60" t="s">
        <v>594</v>
      </c>
    </row>
    <row r="61" spans="1:6" x14ac:dyDescent="0.35">
      <c r="A61" t="s">
        <v>651</v>
      </c>
      <c r="B61" t="s">
        <v>931</v>
      </c>
      <c r="C61" t="s">
        <v>932</v>
      </c>
      <c r="D61" t="s">
        <v>933</v>
      </c>
      <c r="E61" t="s">
        <v>594</v>
      </c>
      <c r="F61" t="s">
        <v>594</v>
      </c>
    </row>
    <row r="62" spans="1:6" x14ac:dyDescent="0.35">
      <c r="A62" t="s">
        <v>655</v>
      </c>
      <c r="B62" t="s">
        <v>934</v>
      </c>
      <c r="C62" t="s">
        <v>935</v>
      </c>
      <c r="D62" t="s">
        <v>936</v>
      </c>
      <c r="E62" t="s">
        <v>624</v>
      </c>
      <c r="F62">
        <v>0</v>
      </c>
    </row>
    <row r="63" spans="1:6" x14ac:dyDescent="0.35">
      <c r="A63" t="s">
        <v>653</v>
      </c>
      <c r="B63" t="s">
        <v>937</v>
      </c>
      <c r="C63" t="s">
        <v>938</v>
      </c>
      <c r="D63" t="s">
        <v>939</v>
      </c>
      <c r="E63">
        <v>0</v>
      </c>
      <c r="F63" t="s">
        <v>607</v>
      </c>
    </row>
    <row r="64" spans="1:6" x14ac:dyDescent="0.35">
      <c r="A64" t="s">
        <v>654</v>
      </c>
      <c r="B64" t="s">
        <v>937</v>
      </c>
      <c r="C64" t="s">
        <v>938</v>
      </c>
      <c r="D64" t="s">
        <v>940</v>
      </c>
      <c r="E64">
        <v>0</v>
      </c>
      <c r="F64" t="s">
        <v>607</v>
      </c>
    </row>
    <row r="65" spans="1:6" x14ac:dyDescent="0.35">
      <c r="A65" t="s">
        <v>657</v>
      </c>
      <c r="B65" t="s">
        <v>941</v>
      </c>
      <c r="C65" t="s">
        <v>942</v>
      </c>
      <c r="D65" t="s">
        <v>943</v>
      </c>
      <c r="E65" t="s">
        <v>594</v>
      </c>
      <c r="F65">
        <v>0</v>
      </c>
    </row>
    <row r="66" spans="1:6" x14ac:dyDescent="0.35">
      <c r="A66" t="s">
        <v>656</v>
      </c>
      <c r="B66" t="s">
        <v>944</v>
      </c>
      <c r="C66" t="s">
        <v>945</v>
      </c>
      <c r="D66" t="s">
        <v>665</v>
      </c>
      <c r="E66" t="s">
        <v>594</v>
      </c>
      <c r="F66" t="s">
        <v>594</v>
      </c>
    </row>
    <row r="67" spans="1:6" x14ac:dyDescent="0.35">
      <c r="A67" t="s">
        <v>661</v>
      </c>
      <c r="B67" t="s">
        <v>946</v>
      </c>
      <c r="C67" t="s">
        <v>947</v>
      </c>
      <c r="D67" t="s">
        <v>948</v>
      </c>
      <c r="E67" t="s">
        <v>624</v>
      </c>
      <c r="F67" t="s">
        <v>594</v>
      </c>
    </row>
    <row r="68" spans="1:6" x14ac:dyDescent="0.35">
      <c r="A68" t="s">
        <v>694</v>
      </c>
      <c r="B68" t="s">
        <v>949</v>
      </c>
      <c r="C68" t="s">
        <v>950</v>
      </c>
      <c r="D68" t="s">
        <v>668</v>
      </c>
      <c r="E68">
        <v>0</v>
      </c>
      <c r="F68" t="s">
        <v>594</v>
      </c>
    </row>
    <row r="69" spans="1:6" x14ac:dyDescent="0.35">
      <c r="A69" t="s">
        <v>658</v>
      </c>
      <c r="B69" t="s">
        <v>951</v>
      </c>
      <c r="C69" t="s">
        <v>952</v>
      </c>
      <c r="D69" t="s">
        <v>670</v>
      </c>
      <c r="E69" t="s">
        <v>594</v>
      </c>
      <c r="F69" t="s">
        <v>594</v>
      </c>
    </row>
    <row r="70" spans="1:6" x14ac:dyDescent="0.35">
      <c r="A70" t="s">
        <v>664</v>
      </c>
      <c r="B70" t="s">
        <v>953</v>
      </c>
      <c r="C70" t="s">
        <v>954</v>
      </c>
      <c r="D70" t="s">
        <v>955</v>
      </c>
      <c r="E70" t="s">
        <v>594</v>
      </c>
      <c r="F70" t="s">
        <v>594</v>
      </c>
    </row>
    <row r="71" spans="1:6" x14ac:dyDescent="0.35">
      <c r="A71" t="s">
        <v>663</v>
      </c>
      <c r="B71" t="s">
        <v>956</v>
      </c>
      <c r="C71" t="s">
        <v>957</v>
      </c>
      <c r="D71" t="s">
        <v>958</v>
      </c>
      <c r="E71" t="s">
        <v>602</v>
      </c>
      <c r="F71" t="s">
        <v>607</v>
      </c>
    </row>
    <row r="72" spans="1:6" x14ac:dyDescent="0.35">
      <c r="A72" t="s">
        <v>700</v>
      </c>
      <c r="B72" t="s">
        <v>959</v>
      </c>
      <c r="C72" t="s">
        <v>960</v>
      </c>
      <c r="D72" t="s">
        <v>961</v>
      </c>
      <c r="E72">
        <v>0</v>
      </c>
      <c r="F72" t="s">
        <v>594</v>
      </c>
    </row>
    <row r="73" spans="1:6" x14ac:dyDescent="0.35">
      <c r="A73" t="s">
        <v>667</v>
      </c>
      <c r="B73" t="s">
        <v>962</v>
      </c>
      <c r="C73" t="s">
        <v>963</v>
      </c>
      <c r="D73" t="s">
        <v>964</v>
      </c>
      <c r="E73" t="s">
        <v>607</v>
      </c>
      <c r="F73">
        <v>0</v>
      </c>
    </row>
    <row r="74" spans="1:6" x14ac:dyDescent="0.35">
      <c r="A74" t="s">
        <v>671</v>
      </c>
      <c r="B74" t="s">
        <v>965</v>
      </c>
      <c r="C74" t="s">
        <v>966</v>
      </c>
      <c r="D74" t="s">
        <v>967</v>
      </c>
      <c r="E74">
        <v>0</v>
      </c>
      <c r="F74" t="s">
        <v>587</v>
      </c>
    </row>
    <row r="75" spans="1:6" x14ac:dyDescent="0.35">
      <c r="A75" t="s">
        <v>669</v>
      </c>
      <c r="B75" t="s">
        <v>968</v>
      </c>
      <c r="C75" t="s">
        <v>969</v>
      </c>
      <c r="D75" t="s">
        <v>970</v>
      </c>
      <c r="E75" t="s">
        <v>607</v>
      </c>
      <c r="F75" t="s">
        <v>624</v>
      </c>
    </row>
    <row r="76" spans="1:6" x14ac:dyDescent="0.35">
      <c r="A76" t="s">
        <v>666</v>
      </c>
      <c r="B76" t="s">
        <v>971</v>
      </c>
      <c r="C76" t="s">
        <v>972</v>
      </c>
      <c r="D76" t="s">
        <v>973</v>
      </c>
      <c r="E76" t="s">
        <v>594</v>
      </c>
      <c r="F76" t="s">
        <v>594</v>
      </c>
    </row>
    <row r="77" spans="1:6" x14ac:dyDescent="0.35">
      <c r="A77" t="s">
        <v>706</v>
      </c>
      <c r="B77" t="s">
        <v>974</v>
      </c>
      <c r="C77" t="s">
        <v>975</v>
      </c>
      <c r="D77" t="s">
        <v>976</v>
      </c>
      <c r="E77" t="s">
        <v>594</v>
      </c>
      <c r="F77">
        <v>0</v>
      </c>
    </row>
    <row r="78" spans="1:6" x14ac:dyDescent="0.35">
      <c r="A78" t="s">
        <v>672</v>
      </c>
      <c r="B78" t="s">
        <v>977</v>
      </c>
      <c r="C78" t="s">
        <v>978</v>
      </c>
      <c r="D78" t="s">
        <v>979</v>
      </c>
      <c r="E78" t="s">
        <v>594</v>
      </c>
      <c r="F78">
        <v>0</v>
      </c>
    </row>
    <row r="79" spans="1:6" x14ac:dyDescent="0.35">
      <c r="A79" t="s">
        <v>673</v>
      </c>
      <c r="B79" t="s">
        <v>980</v>
      </c>
      <c r="C79" t="s">
        <v>981</v>
      </c>
      <c r="D79" t="s">
        <v>982</v>
      </c>
      <c r="E79" t="s">
        <v>624</v>
      </c>
      <c r="F79" t="s">
        <v>607</v>
      </c>
    </row>
    <row r="80" spans="1:6" x14ac:dyDescent="0.35">
      <c r="A80" t="s">
        <v>685</v>
      </c>
      <c r="B80" t="s">
        <v>983</v>
      </c>
      <c r="C80" t="s">
        <v>984</v>
      </c>
      <c r="D80" t="s">
        <v>985</v>
      </c>
      <c r="E80">
        <v>0</v>
      </c>
      <c r="F80" t="s">
        <v>602</v>
      </c>
    </row>
    <row r="81" spans="1:6" x14ac:dyDescent="0.35">
      <c r="A81" t="s">
        <v>711</v>
      </c>
      <c r="B81" t="s">
        <v>986</v>
      </c>
      <c r="C81" t="s">
        <v>987</v>
      </c>
      <c r="D81" t="s">
        <v>683</v>
      </c>
      <c r="E81" t="s">
        <v>594</v>
      </c>
      <c r="F81">
        <v>0</v>
      </c>
    </row>
    <row r="82" spans="1:6" x14ac:dyDescent="0.35">
      <c r="A82" t="s">
        <v>674</v>
      </c>
      <c r="B82" t="s">
        <v>988</v>
      </c>
      <c r="C82" t="s">
        <v>989</v>
      </c>
      <c r="D82" t="s">
        <v>990</v>
      </c>
      <c r="E82" t="s">
        <v>594</v>
      </c>
      <c r="F82" t="s">
        <v>594</v>
      </c>
    </row>
    <row r="83" spans="1:6" x14ac:dyDescent="0.35">
      <c r="A83" t="s">
        <v>693</v>
      </c>
      <c r="B83" t="s">
        <v>991</v>
      </c>
      <c r="C83" t="s">
        <v>992</v>
      </c>
      <c r="D83" t="s">
        <v>993</v>
      </c>
      <c r="E83" t="s">
        <v>594</v>
      </c>
      <c r="F83">
        <v>0</v>
      </c>
    </row>
    <row r="84" spans="1:6" x14ac:dyDescent="0.35">
      <c r="A84" t="s">
        <v>675</v>
      </c>
      <c r="B84" t="s">
        <v>994</v>
      </c>
      <c r="C84" t="s">
        <v>995</v>
      </c>
      <c r="D84" t="s">
        <v>996</v>
      </c>
      <c r="E84">
        <v>0</v>
      </c>
      <c r="F84" t="s">
        <v>594</v>
      </c>
    </row>
    <row r="85" spans="1:6" x14ac:dyDescent="0.35">
      <c r="A85" t="s">
        <v>676</v>
      </c>
      <c r="B85" t="s">
        <v>994</v>
      </c>
      <c r="C85" t="s">
        <v>995</v>
      </c>
      <c r="D85" t="s">
        <v>687</v>
      </c>
      <c r="E85">
        <v>0</v>
      </c>
      <c r="F85" t="s">
        <v>594</v>
      </c>
    </row>
    <row r="86" spans="1:6" x14ac:dyDescent="0.35">
      <c r="A86" t="s">
        <v>677</v>
      </c>
      <c r="B86" t="s">
        <v>994</v>
      </c>
      <c r="C86" t="s">
        <v>995</v>
      </c>
      <c r="D86" t="s">
        <v>997</v>
      </c>
      <c r="E86">
        <v>0</v>
      </c>
      <c r="F86" t="s">
        <v>594</v>
      </c>
    </row>
    <row r="87" spans="1:6" x14ac:dyDescent="0.35">
      <c r="A87" t="s">
        <v>678</v>
      </c>
      <c r="B87" t="s">
        <v>994</v>
      </c>
      <c r="C87" t="s">
        <v>995</v>
      </c>
      <c r="D87" t="s">
        <v>998</v>
      </c>
      <c r="E87">
        <v>0</v>
      </c>
      <c r="F87" t="s">
        <v>594</v>
      </c>
    </row>
    <row r="88" spans="1:6" x14ac:dyDescent="0.35">
      <c r="A88" t="s">
        <v>679</v>
      </c>
      <c r="B88" t="s">
        <v>994</v>
      </c>
      <c r="C88" t="s">
        <v>995</v>
      </c>
      <c r="D88" t="s">
        <v>999</v>
      </c>
      <c r="E88">
        <v>0</v>
      </c>
      <c r="F88" t="s">
        <v>594</v>
      </c>
    </row>
    <row r="89" spans="1:6" x14ac:dyDescent="0.35">
      <c r="A89" t="s">
        <v>680</v>
      </c>
      <c r="B89" t="s">
        <v>994</v>
      </c>
      <c r="C89" t="s">
        <v>995</v>
      </c>
      <c r="D89" t="s">
        <v>1000</v>
      </c>
      <c r="E89">
        <v>0</v>
      </c>
      <c r="F89" t="s">
        <v>594</v>
      </c>
    </row>
    <row r="90" spans="1:6" x14ac:dyDescent="0.35">
      <c r="A90" t="s">
        <v>681</v>
      </c>
      <c r="B90" t="s">
        <v>994</v>
      </c>
      <c r="C90" t="s">
        <v>995</v>
      </c>
      <c r="D90" t="s">
        <v>692</v>
      </c>
      <c r="E90">
        <v>0</v>
      </c>
      <c r="F90" t="s">
        <v>594</v>
      </c>
    </row>
    <row r="91" spans="1:6" x14ac:dyDescent="0.35">
      <c r="A91" t="s">
        <v>682</v>
      </c>
      <c r="B91" t="s">
        <v>994</v>
      </c>
      <c r="C91" t="s">
        <v>995</v>
      </c>
      <c r="D91" t="s">
        <v>1001</v>
      </c>
      <c r="E91">
        <v>0</v>
      </c>
      <c r="F91" t="s">
        <v>594</v>
      </c>
    </row>
    <row r="92" spans="1:6" x14ac:dyDescent="0.35">
      <c r="A92" t="s">
        <v>684</v>
      </c>
      <c r="B92" t="s">
        <v>994</v>
      </c>
      <c r="C92" t="s">
        <v>995</v>
      </c>
      <c r="D92" t="s">
        <v>1002</v>
      </c>
      <c r="E92">
        <v>0</v>
      </c>
      <c r="F92" t="s">
        <v>594</v>
      </c>
    </row>
    <row r="93" spans="1:6" x14ac:dyDescent="0.35">
      <c r="A93" t="s">
        <v>695</v>
      </c>
      <c r="B93" t="s">
        <v>1003</v>
      </c>
      <c r="C93" t="s">
        <v>1004</v>
      </c>
      <c r="D93" t="s">
        <v>1005</v>
      </c>
      <c r="E93" t="s">
        <v>594</v>
      </c>
      <c r="F93">
        <v>0</v>
      </c>
    </row>
    <row r="94" spans="1:6" x14ac:dyDescent="0.35">
      <c r="A94" t="s">
        <v>696</v>
      </c>
      <c r="B94" t="s">
        <v>1003</v>
      </c>
      <c r="C94" t="s">
        <v>1004</v>
      </c>
      <c r="D94" t="s">
        <v>1006</v>
      </c>
      <c r="E94" t="s">
        <v>594</v>
      </c>
      <c r="F94">
        <v>0</v>
      </c>
    </row>
    <row r="95" spans="1:6" x14ac:dyDescent="0.35">
      <c r="A95" t="s">
        <v>686</v>
      </c>
      <c r="B95" t="s">
        <v>1007</v>
      </c>
      <c r="C95" t="s">
        <v>1008</v>
      </c>
      <c r="D95" t="s">
        <v>697</v>
      </c>
      <c r="E95">
        <v>0</v>
      </c>
      <c r="F95" t="s">
        <v>594</v>
      </c>
    </row>
    <row r="96" spans="1:6" x14ac:dyDescent="0.35">
      <c r="A96" t="s">
        <v>688</v>
      </c>
      <c r="B96" t="s">
        <v>1007</v>
      </c>
      <c r="C96" t="s">
        <v>1008</v>
      </c>
      <c r="D96" t="s">
        <v>699</v>
      </c>
      <c r="E96">
        <v>0</v>
      </c>
      <c r="F96" t="s">
        <v>594</v>
      </c>
    </row>
    <row r="97" spans="1:6" x14ac:dyDescent="0.35">
      <c r="A97" t="s">
        <v>689</v>
      </c>
      <c r="B97" t="s">
        <v>1007</v>
      </c>
      <c r="C97" t="s">
        <v>1008</v>
      </c>
      <c r="D97" t="s">
        <v>1009</v>
      </c>
      <c r="E97">
        <v>0</v>
      </c>
      <c r="F97" t="s">
        <v>594</v>
      </c>
    </row>
    <row r="98" spans="1:6" x14ac:dyDescent="0.35">
      <c r="A98" t="s">
        <v>690</v>
      </c>
      <c r="B98" t="s">
        <v>1007</v>
      </c>
      <c r="C98" t="s">
        <v>1008</v>
      </c>
      <c r="D98" t="s">
        <v>1010</v>
      </c>
      <c r="E98">
        <v>0</v>
      </c>
      <c r="F98" t="s">
        <v>594</v>
      </c>
    </row>
    <row r="99" spans="1:6" x14ac:dyDescent="0.35">
      <c r="A99" t="s">
        <v>691</v>
      </c>
      <c r="B99" t="s">
        <v>1007</v>
      </c>
      <c r="C99" t="s">
        <v>1008</v>
      </c>
      <c r="D99" t="s">
        <v>1011</v>
      </c>
      <c r="E99">
        <v>0</v>
      </c>
      <c r="F99" t="s">
        <v>594</v>
      </c>
    </row>
    <row r="100" spans="1:6" x14ac:dyDescent="0.35">
      <c r="A100" t="s">
        <v>698</v>
      </c>
      <c r="B100" t="s">
        <v>1012</v>
      </c>
      <c r="C100" t="s">
        <v>1013</v>
      </c>
      <c r="D100" t="s">
        <v>1014</v>
      </c>
      <c r="E100">
        <v>0</v>
      </c>
      <c r="F100" t="s">
        <v>607</v>
      </c>
    </row>
    <row r="101" spans="1:6" x14ac:dyDescent="0.35">
      <c r="A101" t="s">
        <v>701</v>
      </c>
      <c r="B101" t="s">
        <v>1015</v>
      </c>
      <c r="C101" t="s">
        <v>1012</v>
      </c>
      <c r="D101" t="s">
        <v>1016</v>
      </c>
      <c r="E101" t="s">
        <v>607</v>
      </c>
      <c r="F101">
        <v>0</v>
      </c>
    </row>
    <row r="102" spans="1:6" x14ac:dyDescent="0.35">
      <c r="A102" t="s">
        <v>712</v>
      </c>
      <c r="B102" t="s">
        <v>1017</v>
      </c>
      <c r="C102" t="s">
        <v>1018</v>
      </c>
      <c r="D102" t="s">
        <v>1019</v>
      </c>
      <c r="E102" t="s">
        <v>594</v>
      </c>
      <c r="F102">
        <v>0</v>
      </c>
    </row>
    <row r="103" spans="1:6" x14ac:dyDescent="0.35">
      <c r="A103" t="s">
        <v>713</v>
      </c>
      <c r="B103" t="s">
        <v>1017</v>
      </c>
      <c r="C103" t="s">
        <v>1018</v>
      </c>
      <c r="D103" t="s">
        <v>1020</v>
      </c>
      <c r="E103" t="s">
        <v>594</v>
      </c>
      <c r="F103">
        <v>0</v>
      </c>
    </row>
    <row r="104" spans="1:6" x14ac:dyDescent="0.35">
      <c r="A104" t="s">
        <v>702</v>
      </c>
      <c r="B104" t="s">
        <v>1021</v>
      </c>
      <c r="C104" t="s">
        <v>1022</v>
      </c>
      <c r="D104" t="s">
        <v>1023</v>
      </c>
      <c r="E104">
        <v>0</v>
      </c>
      <c r="F104" t="s">
        <v>607</v>
      </c>
    </row>
    <row r="105" spans="1:6" x14ac:dyDescent="0.35">
      <c r="A105" t="s">
        <v>703</v>
      </c>
      <c r="B105" t="s">
        <v>1024</v>
      </c>
      <c r="C105" t="s">
        <v>1025</v>
      </c>
      <c r="D105" t="s">
        <v>1026</v>
      </c>
      <c r="E105" t="s">
        <v>594</v>
      </c>
      <c r="F105">
        <v>0</v>
      </c>
    </row>
    <row r="106" spans="1:6" x14ac:dyDescent="0.35">
      <c r="A106" t="s">
        <v>704</v>
      </c>
      <c r="B106" t="s">
        <v>1024</v>
      </c>
      <c r="C106" t="s">
        <v>1025</v>
      </c>
      <c r="D106" t="s">
        <v>1027</v>
      </c>
      <c r="E106" t="s">
        <v>594</v>
      </c>
      <c r="F106">
        <v>0</v>
      </c>
    </row>
    <row r="107" spans="1:6" x14ac:dyDescent="0.35">
      <c r="A107" t="s">
        <v>705</v>
      </c>
      <c r="B107" t="s">
        <v>1028</v>
      </c>
      <c r="C107" t="s">
        <v>1029</v>
      </c>
      <c r="D107" t="s">
        <v>1030</v>
      </c>
      <c r="E107" t="s">
        <v>594</v>
      </c>
      <c r="F107" t="s">
        <v>594</v>
      </c>
    </row>
    <row r="108" spans="1:6" x14ac:dyDescent="0.35">
      <c r="A108" t="s">
        <v>707</v>
      </c>
      <c r="B108" t="s">
        <v>1031</v>
      </c>
      <c r="C108" t="s">
        <v>1032</v>
      </c>
      <c r="D108" t="s">
        <v>1033</v>
      </c>
      <c r="E108" t="s">
        <v>607</v>
      </c>
      <c r="F108">
        <v>0</v>
      </c>
    </row>
    <row r="109" spans="1:6" x14ac:dyDescent="0.35">
      <c r="A109" t="s">
        <v>708</v>
      </c>
      <c r="B109" t="s">
        <v>1031</v>
      </c>
      <c r="C109" t="s">
        <v>1032</v>
      </c>
      <c r="D109" t="s">
        <v>1034</v>
      </c>
      <c r="E109" t="s">
        <v>607</v>
      </c>
      <c r="F109">
        <v>0</v>
      </c>
    </row>
    <row r="110" spans="1:6" x14ac:dyDescent="0.35">
      <c r="A110" t="s">
        <v>709</v>
      </c>
      <c r="B110" t="s">
        <v>1035</v>
      </c>
      <c r="C110" t="s">
        <v>1036</v>
      </c>
      <c r="D110" t="s">
        <v>1037</v>
      </c>
      <c r="E110" t="s">
        <v>594</v>
      </c>
      <c r="F110">
        <v>0</v>
      </c>
    </row>
    <row r="111" spans="1:6" x14ac:dyDescent="0.35">
      <c r="A111" t="s">
        <v>710</v>
      </c>
      <c r="B111" t="s">
        <v>1038</v>
      </c>
      <c r="C111" t="s">
        <v>1039</v>
      </c>
      <c r="D111" t="s">
        <v>715</v>
      </c>
      <c r="E111">
        <v>0</v>
      </c>
      <c r="F111" t="s">
        <v>594</v>
      </c>
    </row>
    <row r="112" spans="1:6" x14ac:dyDescent="0.35">
      <c r="A112" t="s">
        <v>714</v>
      </c>
      <c r="B112" t="s">
        <v>1040</v>
      </c>
      <c r="C112" t="s">
        <v>1041</v>
      </c>
      <c r="D112" t="s">
        <v>717</v>
      </c>
      <c r="E112" t="s">
        <v>594</v>
      </c>
      <c r="F112">
        <v>0</v>
      </c>
    </row>
    <row r="113" spans="1:6" x14ac:dyDescent="0.35">
      <c r="A113" t="s">
        <v>716</v>
      </c>
      <c r="B113" t="s">
        <v>1040</v>
      </c>
      <c r="C113" t="s">
        <v>1041</v>
      </c>
      <c r="D113" t="s">
        <v>1042</v>
      </c>
      <c r="E113" t="s">
        <v>594</v>
      </c>
      <c r="F113">
        <v>0</v>
      </c>
    </row>
    <row r="114" spans="1:6" x14ac:dyDescent="0.35">
      <c r="A114" t="s">
        <v>718</v>
      </c>
      <c r="B114" t="s">
        <v>1043</v>
      </c>
      <c r="C114" t="s">
        <v>1044</v>
      </c>
      <c r="D114" t="s">
        <v>1045</v>
      </c>
      <c r="E114">
        <v>0</v>
      </c>
      <c r="F114" t="s">
        <v>594</v>
      </c>
    </row>
    <row r="115" spans="1:6" x14ac:dyDescent="0.35">
      <c r="A115" t="s">
        <v>719</v>
      </c>
      <c r="B115" t="s">
        <v>1046</v>
      </c>
      <c r="C115" t="s">
        <v>1047</v>
      </c>
      <c r="D115" t="s">
        <v>721</v>
      </c>
      <c r="E115" t="s">
        <v>594</v>
      </c>
      <c r="F115">
        <v>0</v>
      </c>
    </row>
    <row r="116" spans="1:6" x14ac:dyDescent="0.35">
      <c r="A116" t="s">
        <v>720</v>
      </c>
      <c r="B116" t="s">
        <v>1046</v>
      </c>
      <c r="C116" t="s">
        <v>1047</v>
      </c>
      <c r="D116" t="s">
        <v>723</v>
      </c>
      <c r="E116" t="s">
        <v>594</v>
      </c>
      <c r="F116">
        <v>0</v>
      </c>
    </row>
    <row r="117" spans="1:6" x14ac:dyDescent="0.35">
      <c r="A117" t="s">
        <v>730</v>
      </c>
      <c r="B117" t="s">
        <v>1048</v>
      </c>
      <c r="C117" t="s">
        <v>1049</v>
      </c>
      <c r="D117" t="s">
        <v>1050</v>
      </c>
      <c r="E117" t="s">
        <v>624</v>
      </c>
      <c r="F117">
        <v>0</v>
      </c>
    </row>
    <row r="118" spans="1:6" x14ac:dyDescent="0.35">
      <c r="A118" t="s">
        <v>722</v>
      </c>
      <c r="B118" t="s">
        <v>1051</v>
      </c>
      <c r="C118" t="s">
        <v>1052</v>
      </c>
      <c r="D118" t="s">
        <v>726</v>
      </c>
      <c r="E118">
        <v>0</v>
      </c>
      <c r="F118" t="s">
        <v>594</v>
      </c>
    </row>
    <row r="119" spans="1:6" x14ac:dyDescent="0.35">
      <c r="A119" t="s">
        <v>724</v>
      </c>
      <c r="B119" t="s">
        <v>1051</v>
      </c>
      <c r="C119" t="s">
        <v>1052</v>
      </c>
      <c r="D119" t="s">
        <v>1053</v>
      </c>
      <c r="E119">
        <v>0</v>
      </c>
      <c r="F119" t="s">
        <v>594</v>
      </c>
    </row>
    <row r="120" spans="1:6" x14ac:dyDescent="0.35">
      <c r="A120" t="s">
        <v>725</v>
      </c>
      <c r="B120" t="s">
        <v>1051</v>
      </c>
      <c r="C120" t="s">
        <v>1052</v>
      </c>
      <c r="D120" t="s">
        <v>728</v>
      </c>
      <c r="E120">
        <v>0</v>
      </c>
      <c r="F120" t="s">
        <v>594</v>
      </c>
    </row>
    <row r="121" spans="1:6" x14ac:dyDescent="0.35">
      <c r="A121" t="s">
        <v>727</v>
      </c>
      <c r="B121" t="s">
        <v>1051</v>
      </c>
      <c r="C121" t="s">
        <v>1052</v>
      </c>
      <c r="D121" t="s">
        <v>1054</v>
      </c>
      <c r="E121">
        <v>0</v>
      </c>
      <c r="F121" t="s">
        <v>594</v>
      </c>
    </row>
    <row r="122" spans="1:6" x14ac:dyDescent="0.35">
      <c r="A122" t="s">
        <v>729</v>
      </c>
      <c r="B122" t="s">
        <v>1051</v>
      </c>
      <c r="C122" t="s">
        <v>1052</v>
      </c>
      <c r="D122" t="s">
        <v>731</v>
      </c>
      <c r="E122">
        <v>0</v>
      </c>
      <c r="F122" t="s">
        <v>594</v>
      </c>
    </row>
    <row r="123" spans="1:6" x14ac:dyDescent="0.35">
      <c r="A123" t="s">
        <v>732</v>
      </c>
      <c r="B123" t="s">
        <v>1055</v>
      </c>
      <c r="C123" t="s">
        <v>1056</v>
      </c>
      <c r="D123" t="s">
        <v>733</v>
      </c>
      <c r="E123">
        <v>0</v>
      </c>
      <c r="F123" t="s">
        <v>594</v>
      </c>
    </row>
    <row r="124" spans="1:6" x14ac:dyDescent="0.35">
      <c r="A124" t="s">
        <v>734</v>
      </c>
      <c r="B124" t="s">
        <v>1055</v>
      </c>
      <c r="C124" t="s">
        <v>1056</v>
      </c>
      <c r="D124" t="s">
        <v>735</v>
      </c>
      <c r="E124">
        <v>0</v>
      </c>
      <c r="F124" t="s">
        <v>594</v>
      </c>
    </row>
    <row r="125" spans="1:6" x14ac:dyDescent="0.35">
      <c r="A125" t="s">
        <v>736</v>
      </c>
      <c r="B125" t="s">
        <v>1057</v>
      </c>
      <c r="C125" t="s">
        <v>1058</v>
      </c>
      <c r="D125" t="s">
        <v>737</v>
      </c>
      <c r="E125">
        <v>0</v>
      </c>
      <c r="F125" t="s">
        <v>607</v>
      </c>
    </row>
    <row r="126" spans="1:6" x14ac:dyDescent="0.35">
      <c r="A126" t="s">
        <v>738</v>
      </c>
      <c r="B126" t="s">
        <v>1059</v>
      </c>
      <c r="C126" t="s">
        <v>1060</v>
      </c>
      <c r="D126">
        <v>100</v>
      </c>
      <c r="E126">
        <v>0</v>
      </c>
      <c r="F126" t="s">
        <v>594</v>
      </c>
    </row>
    <row r="127" spans="1:6" x14ac:dyDescent="0.35">
      <c r="A127" t="s">
        <v>739</v>
      </c>
      <c r="B127">
        <v>0</v>
      </c>
      <c r="C127">
        <v>0</v>
      </c>
      <c r="D127">
        <v>100</v>
      </c>
      <c r="E127">
        <v>0</v>
      </c>
      <c r="F127">
        <v>0</v>
      </c>
    </row>
    <row r="128" spans="1:6" x14ac:dyDescent="0.35">
      <c r="A128" t="s">
        <v>740</v>
      </c>
      <c r="B128">
        <v>0</v>
      </c>
      <c r="C128">
        <v>0</v>
      </c>
      <c r="D128">
        <v>100</v>
      </c>
      <c r="E128">
        <v>0</v>
      </c>
      <c r="F128">
        <v>0</v>
      </c>
    </row>
    <row r="129" spans="1:6" x14ac:dyDescent="0.35">
      <c r="A129" t="s">
        <v>741</v>
      </c>
      <c r="B129">
        <v>0</v>
      </c>
      <c r="C129">
        <v>0</v>
      </c>
      <c r="D129">
        <v>100</v>
      </c>
      <c r="E129">
        <v>0</v>
      </c>
      <c r="F129">
        <v>0</v>
      </c>
    </row>
    <row r="130" spans="1:6" x14ac:dyDescent="0.35">
      <c r="A130" t="s">
        <v>742</v>
      </c>
      <c r="B130">
        <v>0</v>
      </c>
      <c r="C130">
        <v>0</v>
      </c>
      <c r="D130">
        <v>100</v>
      </c>
      <c r="E130">
        <v>0</v>
      </c>
      <c r="F130">
        <v>0</v>
      </c>
    </row>
    <row r="131" spans="1:6" x14ac:dyDescent="0.35">
      <c r="A131" t="s">
        <v>743</v>
      </c>
      <c r="B131">
        <v>0</v>
      </c>
      <c r="C131">
        <v>0</v>
      </c>
      <c r="D131">
        <v>100</v>
      </c>
      <c r="E131">
        <v>0</v>
      </c>
      <c r="F131">
        <v>0</v>
      </c>
    </row>
    <row r="132" spans="1:6" x14ac:dyDescent="0.35">
      <c r="A132" t="s">
        <v>744</v>
      </c>
      <c r="B132">
        <v>0</v>
      </c>
      <c r="C132">
        <v>0</v>
      </c>
      <c r="D132">
        <v>100</v>
      </c>
      <c r="E132">
        <v>0</v>
      </c>
      <c r="F132">
        <v>0</v>
      </c>
    </row>
    <row r="133" spans="1:6" x14ac:dyDescent="0.35">
      <c r="A133" t="s">
        <v>745</v>
      </c>
      <c r="B133">
        <v>0</v>
      </c>
      <c r="C133">
        <v>0</v>
      </c>
      <c r="D133">
        <v>100</v>
      </c>
      <c r="E133">
        <v>0</v>
      </c>
      <c r="F133">
        <v>0</v>
      </c>
    </row>
    <row r="134" spans="1:6" x14ac:dyDescent="0.35">
      <c r="A134" t="s">
        <v>746</v>
      </c>
      <c r="B134">
        <v>0</v>
      </c>
      <c r="C134">
        <v>0</v>
      </c>
      <c r="D134">
        <v>100</v>
      </c>
      <c r="E134">
        <v>0</v>
      </c>
      <c r="F134"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5AE7-2804-40F8-BD29-7013996137A4}">
  <dimension ref="A1:F17"/>
  <sheetViews>
    <sheetView topLeftCell="A9" workbookViewId="0">
      <selection activeCell="A13" sqref="A13:F17"/>
    </sheetView>
  </sheetViews>
  <sheetFormatPr defaultRowHeight="14.5" x14ac:dyDescent="0.35"/>
  <cols>
    <col min="1" max="1" width="24.6328125" bestFit="1" customWidth="1"/>
    <col min="2" max="2" width="8.54296875" bestFit="1" customWidth="1"/>
  </cols>
  <sheetData>
    <row r="1" spans="1:6" x14ac:dyDescent="0.35">
      <c r="A1" t="s">
        <v>565</v>
      </c>
    </row>
    <row r="3" spans="1:6" x14ac:dyDescent="0.35">
      <c r="A3" t="s">
        <v>566</v>
      </c>
      <c r="B3">
        <v>9999</v>
      </c>
    </row>
    <row r="4" spans="1:6" x14ac:dyDescent="0.35">
      <c r="A4" t="s">
        <v>567</v>
      </c>
      <c r="B4" t="s">
        <v>568</v>
      </c>
    </row>
    <row r="5" spans="1:6" x14ac:dyDescent="0.35">
      <c r="A5" t="s">
        <v>569</v>
      </c>
      <c r="B5" t="s">
        <v>570</v>
      </c>
    </row>
    <row r="6" spans="1:6" x14ac:dyDescent="0.35">
      <c r="A6" t="s">
        <v>571</v>
      </c>
      <c r="B6" t="s">
        <v>572</v>
      </c>
    </row>
    <row r="7" spans="1:6" x14ac:dyDescent="0.35">
      <c r="A7" t="s">
        <v>573</v>
      </c>
      <c r="B7" t="s">
        <v>574</v>
      </c>
    </row>
    <row r="13" spans="1:6" ht="29" x14ac:dyDescent="0.35">
      <c r="A13" s="13" t="s">
        <v>1078</v>
      </c>
      <c r="B13" s="13" t="s">
        <v>1079</v>
      </c>
      <c r="C13" s="13" t="s">
        <v>1080</v>
      </c>
      <c r="D13" s="13" t="s">
        <v>1081</v>
      </c>
      <c r="E13" s="13" t="s">
        <v>1082</v>
      </c>
      <c r="F13" s="13" t="s">
        <v>1083</v>
      </c>
    </row>
    <row r="14" spans="1:6" x14ac:dyDescent="0.35">
      <c r="A14" s="14" t="s">
        <v>403</v>
      </c>
      <c r="B14" s="15">
        <v>1</v>
      </c>
      <c r="C14" s="15" t="s">
        <v>1084</v>
      </c>
      <c r="D14" s="15" t="s">
        <v>1085</v>
      </c>
      <c r="E14" s="15" t="s">
        <v>1086</v>
      </c>
      <c r="F14" s="15" t="s">
        <v>1087</v>
      </c>
    </row>
    <row r="15" spans="1:6" x14ac:dyDescent="0.35">
      <c r="A15" s="14" t="s">
        <v>402</v>
      </c>
      <c r="B15" s="15">
        <v>1</v>
      </c>
      <c r="C15" s="15" t="s">
        <v>1088</v>
      </c>
      <c r="D15" s="15" t="s">
        <v>1089</v>
      </c>
      <c r="E15" s="15" t="s">
        <v>1090</v>
      </c>
      <c r="F15" s="15" t="s">
        <v>1091</v>
      </c>
    </row>
    <row r="16" spans="1:6" x14ac:dyDescent="0.35">
      <c r="A16" s="14" t="s">
        <v>1092</v>
      </c>
      <c r="B16" s="15">
        <v>3</v>
      </c>
      <c r="C16" s="15" t="s">
        <v>1093</v>
      </c>
      <c r="D16" s="15" t="s">
        <v>1094</v>
      </c>
      <c r="E16" s="15" t="s">
        <v>268</v>
      </c>
      <c r="F16" s="15" t="s">
        <v>1095</v>
      </c>
    </row>
    <row r="17" spans="1:6" ht="43.5" x14ac:dyDescent="0.35">
      <c r="A17" s="14" t="s">
        <v>1096</v>
      </c>
      <c r="B17" s="15">
        <v>13</v>
      </c>
      <c r="C17" s="15" t="s">
        <v>1097</v>
      </c>
      <c r="D17" s="15" t="s">
        <v>1098</v>
      </c>
      <c r="E17" s="15" t="s">
        <v>1099</v>
      </c>
      <c r="F17" s="15" t="s">
        <v>1091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426F-7838-431A-A74B-EBA54B254FB6}">
  <dimension ref="A1"/>
  <sheetViews>
    <sheetView workbookViewId="0">
      <selection activeCell="H1" sqref="H1:H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Div.seasons (All sites)</vt:lpstr>
      <vt:lpstr>Div.substrates (All sites)</vt:lpstr>
      <vt:lpstr>Plastic vs natural</vt:lpstr>
      <vt:lpstr>Plastic vs natural results</vt:lpstr>
      <vt:lpstr>S1 vs S2</vt:lpstr>
      <vt:lpstr>S1 VS S2 Results</vt:lpstr>
      <vt:lpstr>SIMPER results</vt:lpstr>
      <vt:lpstr>PERMANOVA results macoinverts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Pule Mpopetsi</dc:creator>
  <cp:lastModifiedBy>Venerate Tsuxeko Mdaka</cp:lastModifiedBy>
  <dcterms:created xsi:type="dcterms:W3CDTF">2025-10-08T09:15:35Z</dcterms:created>
  <dcterms:modified xsi:type="dcterms:W3CDTF">2025-10-21T13:36:42Z</dcterms:modified>
</cp:coreProperties>
</file>